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56454fff8cf1adf/文档/Data analysis with excel/"/>
    </mc:Choice>
  </mc:AlternateContent>
  <xr:revisionPtr revIDLastSave="0" documentId="8_{35983892-D678-41E7-9F14-F757AA5ADE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structions" sheetId="1" r:id="rId1"/>
    <sheet name="Dataset (2)" sheetId="3" r:id="rId2"/>
    <sheet name="Dataset" sheetId="2" r:id="rId3"/>
  </sheets>
  <definedNames>
    <definedName name="ExternalData_1" localSheetId="1" hidden="1">'Dataset (2)'!$A$1:$F$32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6" i="2" l="1"/>
  <c r="I5" i="2"/>
  <c r="I3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4559C-BA28-4F6B-A7F9-FB040C6D257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<sst xmlns="http://schemas.openxmlformats.org/spreadsheetml/2006/main" count="286" uniqueCount="177">
  <si>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</si>
  <si>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</si>
  <si>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</si>
  <si>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</si>
  <si>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</si>
  <si>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</si>
  <si>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</si>
  <si>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</si>
  <si>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</si>
  <si>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</si>
  <si>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</si>
  <si>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</si>
  <si>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</si>
  <si>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</si>
  <si>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</si>
  <si>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</si>
  <si>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</si>
  <si>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</si>
  <si>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</si>
  <si>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</si>
  <si>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</si>
  <si>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</si>
  <si>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</si>
  <si>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</si>
  <si>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</si>
  <si>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</si>
  <si>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</si>
  <si>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</si>
  <si>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</si>
  <si>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</si>
  <si>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</si>
  <si>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</si>
  <si>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</si>
  <si>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</si>
  <si>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</si>
  <si>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</si>
  <si>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</si>
  <si>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</si>
  <si>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</si>
  <si>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</si>
  <si>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</si>
  <si>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</si>
  <si>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</si>
  <si>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</si>
  <si>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</si>
  <si>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</si>
  <si>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</si>
  <si>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</si>
  <si>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</si>
  <si>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</si>
  <si>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</si>
  <si>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</si>
  <si>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</si>
  <si>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</si>
  <si>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</si>
  <si>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</si>
  <si>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</si>
  <si>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</si>
  <si>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</si>
  <si>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</si>
  <si>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</si>
  <si>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</si>
  <si>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</si>
  <si>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</si>
  <si>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</si>
  <si>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</si>
  <si>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</si>
  <si>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</si>
  <si>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</si>
  <si>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</si>
  <si>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</si>
  <si>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</si>
  <si>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</si>
  <si>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</si>
  <si>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</si>
  <si>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</si>
  <si>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</si>
  <si>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</si>
  <si>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</si>
  <si>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</si>
  <si>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</si>
  <si>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</si>
  <si>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</si>
  <si>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</si>
  <si>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</si>
  <si>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</si>
  <si>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</si>
  <si>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</si>
  <si>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</si>
  <si>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</si>
  <si>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</si>
  <si>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</si>
  <si>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</si>
  <si>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</si>
  <si>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</si>
  <si>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</si>
  <si>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</si>
  <si>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</si>
  <si>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</si>
  <si>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</si>
  <si>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</si>
  <si>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</si>
  <si>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</si>
  <si>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</si>
  <si>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</si>
  <si>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</si>
  <si>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</si>
  <si>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</si>
  <si>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</si>
  <si>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</si>
  <si>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</si>
  <si>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</si>
  <si>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</si>
  <si>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</si>
  <si>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</si>
  <si>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of price</t>
  </si>
  <si>
    <t>Median of price</t>
  </si>
  <si>
    <t>Average Of quantity</t>
  </si>
  <si>
    <t>Median of quantity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</si>
  <si>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</si>
  <si>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</si>
  <si>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</si>
  <si>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</si>
  <si>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</si>
  <si>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</si>
  <si>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</si>
  <si>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</si>
  <si>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</si>
  <si>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</si>
  <si>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Manufacturing Date</t>
  </si>
  <si>
    <t>Country Code</t>
  </si>
  <si>
    <t>Product Brand</t>
  </si>
  <si>
    <t>US</t>
  </si>
  <si>
    <t>Laptop,Dell</t>
  </si>
  <si>
    <t>Sneakers,Nike</t>
  </si>
  <si>
    <t>Coffee Maker,Keurig</t>
  </si>
  <si>
    <t>Smartphone,Samsung</t>
  </si>
  <si>
    <t>Backpack,North Face</t>
  </si>
  <si>
    <t>UK</t>
  </si>
  <si>
    <t>Headphones,Sony</t>
  </si>
  <si>
    <t>T-Shirt,Adidas</t>
  </si>
  <si>
    <t>Blender,Ninja</t>
  </si>
  <si>
    <t>Tablet,Apple</t>
  </si>
  <si>
    <t>Hiking Boots,Timberland</t>
  </si>
  <si>
    <t>IN</t>
  </si>
  <si>
    <t>Laptop,Hp</t>
  </si>
  <si>
    <t>AU</t>
  </si>
  <si>
    <t>Sneakers,Adidas</t>
  </si>
  <si>
    <t>DE</t>
  </si>
  <si>
    <t>Coffee Maker,Nespresso</t>
  </si>
  <si>
    <t>CA</t>
  </si>
  <si>
    <t>Smartwatch,Fitbit</t>
  </si>
  <si>
    <t>ES</t>
  </si>
  <si>
    <t>Headphones,Bose</t>
  </si>
  <si>
    <t>Laptop Bag,Samsonite</t>
  </si>
  <si>
    <t>CN</t>
  </si>
  <si>
    <t>Smartwatch,Huawei</t>
  </si>
  <si>
    <t>IT</t>
  </si>
  <si>
    <t>Laptop,Asus</t>
  </si>
  <si>
    <t>Sunglasses,Oakley</t>
  </si>
  <si>
    <t>Camping Tent,Coleman</t>
  </si>
  <si>
    <t>RU</t>
  </si>
  <si>
    <t>Camera,Nikon</t>
  </si>
  <si>
    <t>Microwave,Panasonic</t>
  </si>
  <si>
    <t>BR</t>
  </si>
  <si>
    <t>Fitness Tracker,Xiaomi</t>
  </si>
  <si>
    <t>Smartphone,Google</t>
  </si>
  <si>
    <t>Sunglasses,Ray-Ban</t>
  </si>
  <si>
    <t>Blender,Vitamix</t>
  </si>
  <si>
    <t>Dress,Zara</t>
  </si>
  <si>
    <t>Toaster,Hamilton</t>
  </si>
  <si>
    <t>Fitness Tracker,Garmin</t>
  </si>
  <si>
    <t>Jeans,Levi'S</t>
  </si>
  <si>
    <t>FR</t>
  </si>
  <si>
    <t>Watch,Casio</t>
  </si>
  <si>
    <t>Done</t>
  </si>
  <si>
    <t>1.130$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</si>
</sst>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569C6E-9FDE-4C95-878F-F638B8D9E455}" autoFormatId="16" applyNumberFormats="0" applyBorderFormats="0" applyFontFormats="0" applyPatternFormats="0" applyAlignmentFormats="0" applyWidthHeightFormats="0">
  <queryTableRefresh nextId="25">
    <queryTableFields count="6">
      <queryTableField id="17" name="Manufacturing Date" tableColumnId="17"/>
      <queryTableField id="18" name="Country Code" tableColumnId="18"/>
      <queryTableField id="19" name="Product Brand" tableColumnId="19"/>
      <queryTableField id="4" name="Price ($)" tableColumnId="4"/>
      <queryTableField id="5" name="Quantity" tableColumnId="5"/>
      <queryTableField id="6" name="Category" tableColumnId="6"/>
    </queryTableFields>
    <queryTableDeletedFields count="11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B54B2-E485-46CE-AA54-C291D846B746}" name="Dataset" displayName="Dataset" ref="A1:F32" tableType="queryTable" totalsRowShown="0">
  <autoFilter ref="A1:F32" xr:uid="{D2BB54B2-E485-46CE-AA54-C291D846B746}"/>
  <tableColumns count="6">
    <tableColumn id="17" xr3:uid="{ED053B34-217A-441C-A0F6-6FC3BFA5E7C5}" uniqueName="17" name="Manufacturing Date" queryTableFieldId="17" dataDxfId="6"/>
    <tableColumn id="18" xr3:uid="{FC6BC8AE-0904-4EA1-8D51-87CC198A3E11}" uniqueName="18" name="Country Code" queryTableFieldId="18" dataDxfId="5"/>
    <tableColumn id="19" xr3:uid="{2CE05F0E-19A2-4B7B-92F4-91EC6F6D106B}" uniqueName="19" name="Product Brand" queryTableFieldId="19" dataDxfId="4"/>
    <tableColumn id="4" xr3:uid="{CCEA982F-E875-4A5C-9EB4-33724D9BD576}" uniqueName="4" name="Price ($)" queryTableFieldId="4"/>
    <tableColumn id="5" xr3:uid="{A79F0492-4B54-4D07-AAB1-F57C01FF1749}" uniqueName="5" name="Quantity" queryTableFieldId="5" dataDxfId="3"/>
    <tableColumn id="6" xr3:uid="{905B5357-17A6-4FD5-937D-F36E052B7042}" uniqueName="6" name="Category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showGridLines="0" topLeftCell="B1" workbookViewId="0">
      <selection activeCell="K4" sqref="K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4" ht="15.75" customHeight="1" x14ac:dyDescent="0.25">
      <c r="A1" s="1" t="s">
        <v>0</v>
      </c>
    </row>
    <row r="2" spans="1:14" ht="15.75" customHeight="1" x14ac:dyDescent="0.25"/>
    <row r="3" spans="1:14" ht="15.75" customHeight="1" x14ac:dyDescent="0.3">
      <c r="B3" s="2" t="s">
        <v>1</v>
      </c>
    </row>
    <row r="4" spans="1:14" ht="15.75" customHeight="1" x14ac:dyDescent="0.3">
      <c r="C4" s="3" t="s">
        <v>2</v>
      </c>
      <c r="K4" t="s">
        <v>176</v>
      </c>
    </row>
    <row r="5" spans="1:14" ht="15.75" customHeight="1" x14ac:dyDescent="0.3">
      <c r="B5" s="4"/>
      <c r="C5" s="3" t="s">
        <v>3</v>
      </c>
      <c r="L5" t="s">
        <v>175</v>
      </c>
    </row>
    <row r="6" spans="1:14" ht="15.75" customHeight="1" x14ac:dyDescent="0.3">
      <c r="B6" s="4"/>
    </row>
    <row r="7" spans="1:14" ht="15.75" customHeight="1" x14ac:dyDescent="0.3">
      <c r="B7" s="2" t="s">
        <v>4</v>
      </c>
    </row>
    <row r="8" spans="1:14" ht="15.75" customHeight="1" x14ac:dyDescent="0.3">
      <c r="C8" s="3" t="s">
        <v>5</v>
      </c>
      <c r="I8" t="s">
        <v>175</v>
      </c>
    </row>
    <row r="9" spans="1:14" ht="15.75" customHeight="1" x14ac:dyDescent="0.3">
      <c r="C9" s="3" t="s">
        <v>6</v>
      </c>
      <c r="G9" t="s">
        <v>175</v>
      </c>
    </row>
    <row r="10" spans="1:14" ht="15.75" customHeight="1" x14ac:dyDescent="0.3">
      <c r="C10" s="3" t="s">
        <v>7</v>
      </c>
      <c r="N10" t="s">
        <v>175</v>
      </c>
    </row>
    <row r="11" spans="1:14" ht="15.75" customHeight="1" x14ac:dyDescent="0.3">
      <c r="B11" s="4"/>
    </row>
    <row r="12" spans="1:14" ht="15.75" customHeight="1" x14ac:dyDescent="0.3">
      <c r="B12" s="2" t="s">
        <v>8</v>
      </c>
    </row>
    <row r="13" spans="1:14" ht="15.75" customHeight="1" x14ac:dyDescent="0.3">
      <c r="B13" s="2"/>
      <c r="C13" s="3" t="s">
        <v>9</v>
      </c>
      <c r="K13" t="s">
        <v>175</v>
      </c>
    </row>
    <row r="14" spans="1:14" ht="15.75" customHeight="1" x14ac:dyDescent="0.25"/>
    <row r="15" spans="1:14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4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  <c r="N16" t="s">
        <v>175</v>
      </c>
    </row>
    <row r="17" spans="2:12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 t="s">
        <v>175</v>
      </c>
      <c r="K17" s="5"/>
    </row>
    <row r="18" spans="2:12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2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2" ht="15.75" customHeight="1" x14ac:dyDescent="0.3">
      <c r="B20" s="5"/>
      <c r="C20" s="3" t="s">
        <v>14</v>
      </c>
      <c r="D20" s="5"/>
      <c r="E20" s="5"/>
      <c r="F20" s="5"/>
      <c r="G20" s="5"/>
      <c r="H20" s="5" t="s">
        <v>175</v>
      </c>
      <c r="I20" s="5"/>
      <c r="J20" s="5"/>
      <c r="K20" s="5"/>
    </row>
    <row r="21" spans="2:12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 t="s">
        <v>175</v>
      </c>
      <c r="K21" s="5"/>
    </row>
    <row r="22" spans="2:12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2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2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 t="s">
        <v>175</v>
      </c>
      <c r="J24" s="5"/>
      <c r="K24" s="5"/>
    </row>
    <row r="25" spans="2:12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  <c r="L25" t="s">
        <v>175</v>
      </c>
    </row>
    <row r="26" spans="2:12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2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2" ht="15.75" customHeight="1" x14ac:dyDescent="0.25"/>
    <row r="29" spans="2:12" ht="15.75" customHeight="1" x14ac:dyDescent="0.25"/>
    <row r="30" spans="2:12" ht="15.75" customHeight="1" x14ac:dyDescent="0.25"/>
    <row r="31" spans="2:12" ht="15.75" customHeight="1" x14ac:dyDescent="0.25"/>
    <row r="32" spans="2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A413-A614-4D00-8238-D0C1A8995D03}">
  <dimension ref="A1:P33"/>
  <sheetViews>
    <sheetView tabSelected="1" workbookViewId="0">
      <selection activeCell="A15" sqref="A15"/>
    </sheetView>
  </sheetViews>
  <sheetFormatPr defaultRowHeight="13.2" x14ac:dyDescent="0.25"/>
  <cols>
    <col min="1" max="1" width="20.44140625" bestFit="1" customWidth="1"/>
    <col min="2" max="2" width="18.6640625" customWidth="1"/>
    <col min="3" max="3" width="21.44140625" bestFit="1" customWidth="1"/>
    <col min="4" max="4" width="10.5546875" bestFit="1" customWidth="1"/>
    <col min="5" max="5" width="12.88671875" bestFit="1" customWidth="1"/>
    <col min="6" max="6" width="11.21875" bestFit="1" customWidth="1"/>
    <col min="7" max="9" width="10.88671875" bestFit="1" customWidth="1"/>
    <col min="10" max="12" width="11.88671875" bestFit="1" customWidth="1"/>
    <col min="13" max="16" width="11.88671875" customWidth="1"/>
    <col min="17" max="20" width="11.88671875" bestFit="1" customWidth="1"/>
  </cols>
  <sheetData>
    <row r="1" spans="1:16" x14ac:dyDescent="0.25">
      <c r="A1" t="s">
        <v>129</v>
      </c>
      <c r="B1" s="9" t="s">
        <v>130</v>
      </c>
      <c r="C1" t="s">
        <v>131</v>
      </c>
      <c r="D1" t="s">
        <v>22</v>
      </c>
      <c r="E1" s="9" t="s">
        <v>23</v>
      </c>
      <c r="F1" t="s">
        <v>24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</row>
    <row r="2" spans="1:16" x14ac:dyDescent="0.25">
      <c r="A2" s="10">
        <v>46050</v>
      </c>
      <c r="B2" s="9" t="s">
        <v>132</v>
      </c>
      <c r="C2" t="s">
        <v>133</v>
      </c>
      <c r="D2">
        <v>1000</v>
      </c>
      <c r="E2" s="9">
        <v>30</v>
      </c>
      <c r="F2" t="s">
        <v>28</v>
      </c>
    </row>
    <row r="3" spans="1:16" x14ac:dyDescent="0.25">
      <c r="A3" s="10">
        <v>46068</v>
      </c>
      <c r="B3" s="9" t="s">
        <v>132</v>
      </c>
      <c r="C3" t="s">
        <v>134</v>
      </c>
      <c r="D3">
        <v>80</v>
      </c>
      <c r="E3" s="9">
        <v>15</v>
      </c>
      <c r="F3" t="s">
        <v>32</v>
      </c>
    </row>
    <row r="4" spans="1:16" ht="15.6" x14ac:dyDescent="0.3">
      <c r="A4" s="10">
        <v>46084</v>
      </c>
      <c r="B4" s="9" t="s">
        <v>132</v>
      </c>
      <c r="C4" t="s">
        <v>135</v>
      </c>
      <c r="D4">
        <v>130</v>
      </c>
      <c r="E4" s="9">
        <v>40</v>
      </c>
      <c r="F4" t="s">
        <v>36</v>
      </c>
      <c r="I4" s="2"/>
    </row>
    <row r="5" spans="1:16" x14ac:dyDescent="0.25">
      <c r="A5" s="10">
        <v>46123</v>
      </c>
      <c r="B5" s="9" t="s">
        <v>132</v>
      </c>
      <c r="C5" t="s">
        <v>136</v>
      </c>
      <c r="D5">
        <v>900</v>
      </c>
      <c r="E5" s="9">
        <v>25</v>
      </c>
      <c r="F5" t="s">
        <v>28</v>
      </c>
      <c r="I5" s="5"/>
    </row>
    <row r="6" spans="1:16" x14ac:dyDescent="0.25">
      <c r="A6" s="10">
        <v>46164</v>
      </c>
      <c r="B6" s="9" t="s">
        <v>132</v>
      </c>
      <c r="C6" t="s">
        <v>137</v>
      </c>
      <c r="D6">
        <v>70</v>
      </c>
      <c r="E6" s="9">
        <v>20</v>
      </c>
      <c r="F6" t="s">
        <v>74</v>
      </c>
      <c r="I6" s="5"/>
    </row>
    <row r="7" spans="1:16" x14ac:dyDescent="0.25">
      <c r="A7" s="10">
        <v>46180</v>
      </c>
      <c r="B7" s="9" t="s">
        <v>138</v>
      </c>
      <c r="C7" t="s">
        <v>139</v>
      </c>
      <c r="D7">
        <v>130</v>
      </c>
      <c r="E7" s="9">
        <v>45</v>
      </c>
      <c r="F7" t="s">
        <v>28</v>
      </c>
    </row>
    <row r="8" spans="1:16" x14ac:dyDescent="0.25">
      <c r="A8" s="10">
        <v>46222</v>
      </c>
      <c r="B8" s="9" t="s">
        <v>138</v>
      </c>
      <c r="C8" t="s">
        <v>140</v>
      </c>
      <c r="D8">
        <v>30</v>
      </c>
      <c r="E8" s="9">
        <v>5</v>
      </c>
      <c r="F8" t="s">
        <v>32</v>
      </c>
    </row>
    <row r="9" spans="1:16" x14ac:dyDescent="0.25">
      <c r="A9" s="10">
        <v>46257</v>
      </c>
      <c r="B9" s="9" t="s">
        <v>138</v>
      </c>
      <c r="C9" t="s">
        <v>141</v>
      </c>
      <c r="D9">
        <v>90</v>
      </c>
      <c r="E9" s="9">
        <v>35</v>
      </c>
      <c r="F9" t="s">
        <v>36</v>
      </c>
    </row>
    <row r="10" spans="1:16" x14ac:dyDescent="0.25">
      <c r="A10" s="10">
        <v>46270</v>
      </c>
      <c r="B10" s="9" t="s">
        <v>138</v>
      </c>
      <c r="C10" t="s">
        <v>142</v>
      </c>
      <c r="D10">
        <v>500</v>
      </c>
      <c r="E10" s="9">
        <v>50</v>
      </c>
      <c r="F10" t="s">
        <v>28</v>
      </c>
    </row>
    <row r="11" spans="1:16" x14ac:dyDescent="0.25">
      <c r="A11" s="10">
        <v>46309</v>
      </c>
      <c r="B11" s="9" t="s">
        <v>138</v>
      </c>
      <c r="C11" t="s">
        <v>143</v>
      </c>
      <c r="D11">
        <v>130</v>
      </c>
      <c r="E11" s="9">
        <v>10</v>
      </c>
      <c r="F11" t="s">
        <v>58</v>
      </c>
    </row>
    <row r="12" spans="1:16" x14ac:dyDescent="0.25">
      <c r="A12" s="10">
        <v>46190</v>
      </c>
      <c r="B12" s="9" t="s">
        <v>144</v>
      </c>
      <c r="C12" t="s">
        <v>145</v>
      </c>
      <c r="D12">
        <v>950</v>
      </c>
      <c r="E12" s="9">
        <v>25</v>
      </c>
      <c r="F12" t="s">
        <v>28</v>
      </c>
    </row>
    <row r="13" spans="1:16" x14ac:dyDescent="0.25">
      <c r="A13" s="10">
        <v>46351</v>
      </c>
      <c r="B13" s="9" t="s">
        <v>146</v>
      </c>
      <c r="C13" t="s">
        <v>147</v>
      </c>
      <c r="D13">
        <v>90</v>
      </c>
      <c r="E13" s="9">
        <v>40</v>
      </c>
      <c r="F13" t="s">
        <v>32</v>
      </c>
    </row>
    <row r="14" spans="1:16" x14ac:dyDescent="0.25">
      <c r="A14" s="10">
        <v>46364</v>
      </c>
      <c r="B14" s="9" t="s">
        <v>148</v>
      </c>
      <c r="C14" t="s">
        <v>149</v>
      </c>
      <c r="D14">
        <v>120</v>
      </c>
      <c r="E14" s="9">
        <v>35</v>
      </c>
      <c r="F14" t="s">
        <v>36</v>
      </c>
    </row>
    <row r="15" spans="1:16" x14ac:dyDescent="0.25">
      <c r="A15" s="10">
        <v>46071</v>
      </c>
      <c r="B15" s="9" t="s">
        <v>150</v>
      </c>
      <c r="C15" t="s">
        <v>151</v>
      </c>
      <c r="D15">
        <v>150</v>
      </c>
      <c r="E15" s="9">
        <v>15</v>
      </c>
      <c r="F15" t="s">
        <v>28</v>
      </c>
    </row>
    <row r="16" spans="1:16" x14ac:dyDescent="0.25">
      <c r="A16" s="10">
        <v>46128</v>
      </c>
      <c r="B16" s="9" t="s">
        <v>152</v>
      </c>
      <c r="C16" t="s">
        <v>153</v>
      </c>
      <c r="D16">
        <v>250</v>
      </c>
      <c r="E16" s="9">
        <v>20</v>
      </c>
      <c r="F16" t="s">
        <v>28</v>
      </c>
    </row>
    <row r="17" spans="1:6" x14ac:dyDescent="0.25">
      <c r="A17" s="10">
        <v>46255</v>
      </c>
      <c r="B17" s="9" t="s">
        <v>150</v>
      </c>
      <c r="C17" t="s">
        <v>154</v>
      </c>
      <c r="D17">
        <v>50</v>
      </c>
      <c r="E17" s="9">
        <v>35</v>
      </c>
      <c r="F17" t="s">
        <v>74</v>
      </c>
    </row>
    <row r="18" spans="1:6" x14ac:dyDescent="0.25">
      <c r="A18" s="10">
        <v>46254</v>
      </c>
      <c r="B18" s="9" t="s">
        <v>155</v>
      </c>
      <c r="C18" t="s">
        <v>156</v>
      </c>
      <c r="D18">
        <v>160</v>
      </c>
      <c r="E18" s="9">
        <v>15</v>
      </c>
      <c r="F18" t="s">
        <v>28</v>
      </c>
    </row>
    <row r="19" spans="1:6" x14ac:dyDescent="0.25">
      <c r="A19" s="10">
        <v>46049</v>
      </c>
      <c r="B19" s="9" t="s">
        <v>157</v>
      </c>
      <c r="C19" t="s">
        <v>158</v>
      </c>
      <c r="D19">
        <v>980</v>
      </c>
      <c r="E19" s="9">
        <v>10</v>
      </c>
      <c r="F19" t="s">
        <v>28</v>
      </c>
    </row>
    <row r="20" spans="1:6" x14ac:dyDescent="0.25">
      <c r="A20" s="10">
        <v>46082</v>
      </c>
      <c r="B20" s="9" t="s">
        <v>138</v>
      </c>
      <c r="C20" t="s">
        <v>159</v>
      </c>
      <c r="D20">
        <v>150</v>
      </c>
      <c r="E20" s="9">
        <v>15</v>
      </c>
      <c r="F20" t="s">
        <v>32</v>
      </c>
    </row>
    <row r="21" spans="1:6" x14ac:dyDescent="0.25">
      <c r="A21" s="10">
        <v>46248</v>
      </c>
      <c r="B21" s="9" t="s">
        <v>132</v>
      </c>
      <c r="C21" t="s">
        <v>160</v>
      </c>
      <c r="D21">
        <v>130</v>
      </c>
      <c r="E21" s="9">
        <v>10</v>
      </c>
      <c r="F21" t="s">
        <v>58</v>
      </c>
    </row>
    <row r="22" spans="1:6" x14ac:dyDescent="0.25">
      <c r="A22" s="10">
        <v>46156</v>
      </c>
      <c r="B22" s="9" t="s">
        <v>161</v>
      </c>
      <c r="C22" t="s">
        <v>162</v>
      </c>
      <c r="D22">
        <v>700</v>
      </c>
      <c r="E22" s="9">
        <v>50</v>
      </c>
      <c r="F22" t="s">
        <v>28</v>
      </c>
    </row>
    <row r="23" spans="1:6" x14ac:dyDescent="0.25">
      <c r="A23" s="10">
        <v>46031</v>
      </c>
      <c r="B23" s="9" t="s">
        <v>150</v>
      </c>
      <c r="C23" t="s">
        <v>163</v>
      </c>
      <c r="D23">
        <v>80</v>
      </c>
      <c r="E23" s="9">
        <v>20</v>
      </c>
      <c r="F23" t="s">
        <v>36</v>
      </c>
    </row>
    <row r="24" spans="1:6" x14ac:dyDescent="0.25">
      <c r="A24" s="10">
        <v>46222</v>
      </c>
      <c r="B24" s="9" t="s">
        <v>164</v>
      </c>
      <c r="C24" t="s">
        <v>165</v>
      </c>
      <c r="D24">
        <v>150</v>
      </c>
      <c r="E24" s="9">
        <v>30</v>
      </c>
      <c r="F24" t="s">
        <v>28</v>
      </c>
    </row>
    <row r="25" spans="1:6" x14ac:dyDescent="0.25">
      <c r="A25" s="10">
        <v>46294</v>
      </c>
      <c r="B25" s="9" t="s">
        <v>150</v>
      </c>
      <c r="C25" t="s">
        <v>166</v>
      </c>
      <c r="D25">
        <v>800</v>
      </c>
      <c r="E25" s="9">
        <v>45</v>
      </c>
      <c r="F25" t="s">
        <v>28</v>
      </c>
    </row>
    <row r="26" spans="1:6" x14ac:dyDescent="0.25">
      <c r="A26" s="10">
        <v>46176</v>
      </c>
      <c r="B26" s="9" t="s">
        <v>150</v>
      </c>
      <c r="C26" t="s">
        <v>167</v>
      </c>
      <c r="D26">
        <v>130</v>
      </c>
      <c r="E26" s="9">
        <v>25</v>
      </c>
      <c r="F26" t="s">
        <v>32</v>
      </c>
    </row>
    <row r="27" spans="1:6" x14ac:dyDescent="0.25">
      <c r="A27" s="10">
        <v>46214</v>
      </c>
      <c r="B27" s="9" t="s">
        <v>150</v>
      </c>
      <c r="C27" t="s">
        <v>168</v>
      </c>
      <c r="D27">
        <v>400</v>
      </c>
      <c r="E27" s="9">
        <v>40</v>
      </c>
      <c r="F27" t="s">
        <v>36</v>
      </c>
    </row>
    <row r="28" spans="1:6" x14ac:dyDescent="0.25">
      <c r="A28" s="10">
        <v>46088</v>
      </c>
      <c r="B28" s="9" t="s">
        <v>150</v>
      </c>
      <c r="C28" t="s">
        <v>169</v>
      </c>
      <c r="D28">
        <v>60</v>
      </c>
      <c r="E28" s="9">
        <v>30</v>
      </c>
      <c r="F28" t="s">
        <v>32</v>
      </c>
    </row>
    <row r="29" spans="1:6" x14ac:dyDescent="0.25">
      <c r="A29" s="10">
        <v>46125</v>
      </c>
      <c r="B29" s="9" t="s">
        <v>150</v>
      </c>
      <c r="C29" t="s">
        <v>170</v>
      </c>
      <c r="D29">
        <v>40</v>
      </c>
      <c r="E29" s="9">
        <v>10</v>
      </c>
      <c r="F29" t="s">
        <v>36</v>
      </c>
    </row>
    <row r="30" spans="1:6" x14ac:dyDescent="0.25">
      <c r="A30" s="10">
        <v>46166</v>
      </c>
      <c r="B30" s="9" t="s">
        <v>150</v>
      </c>
      <c r="C30" t="s">
        <v>171</v>
      </c>
      <c r="D30">
        <v>130</v>
      </c>
      <c r="E30" s="9">
        <v>5</v>
      </c>
      <c r="F30" t="s">
        <v>28</v>
      </c>
    </row>
    <row r="31" spans="1:6" x14ac:dyDescent="0.25">
      <c r="A31" s="10">
        <v>46358</v>
      </c>
      <c r="B31" s="9" t="s">
        <v>150</v>
      </c>
      <c r="C31" t="s">
        <v>172</v>
      </c>
      <c r="D31">
        <v>50</v>
      </c>
      <c r="E31" s="9">
        <v>50</v>
      </c>
      <c r="F31" t="s">
        <v>32</v>
      </c>
    </row>
    <row r="32" spans="1:6" x14ac:dyDescent="0.25">
      <c r="A32" s="10">
        <v>46212</v>
      </c>
      <c r="B32" s="9" t="s">
        <v>173</v>
      </c>
      <c r="C32" t="s">
        <v>174</v>
      </c>
      <c r="D32">
        <v>100</v>
      </c>
      <c r="E32" s="9">
        <v>20</v>
      </c>
      <c r="F32" t="s">
        <v>74</v>
      </c>
    </row>
    <row r="33" spans="1:5" x14ac:dyDescent="0.25">
      <c r="A33" s="10"/>
      <c r="B33" s="9"/>
      <c r="E33" s="9"/>
    </row>
  </sheetData>
  <phoneticPr fontId="8" type="noConversion"/>
  <conditionalFormatting sqref="E3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{F7B7BFD8-B3BE-4068-AE27-3729492919D3}</x14:id>
        </ext>
      </extLst>
    </cfRule>
  </conditionalFormatting>
  <conditionalFormatting sqref="D1:D3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{3E33E091-1DAE-4394-BB43-B95411108966}</x14:id>
        </ext>
      </extLst>
    </cfRule>
  </conditionalFormatting>
  <conditionalFormatting sqref="F1:F32">
    <cfRule type="cellIs" dxfId="1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B7BFD8-B3BE-4068-AE27-3729492919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E33</xm:sqref>
        </x14:conditionalFormatting>
        <x14:conditionalFormatting xmlns:xm="http://schemas.microsoft.com/office/excel/2006/main">
          <x14:cfRule type="dataBar" id="{3E33E091-1DAE-4394-BB43-B95411108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86" workbookViewId="0">
      <selection activeCell="G15" sqref="G15"/>
    </sheetView>
  </sheetViews>
  <sheetFormatPr defaultColWidth="12.6640625" defaultRowHeight="15" customHeight="1" x14ac:dyDescent="0.25"/>
  <cols>
    <col min="1" max="1" width="16.33203125" customWidth="1"/>
    <col min="2" max="2" width="16.88671875" customWidth="1"/>
    <col min="3" max="3" width="15.44140625" customWidth="1"/>
    <col min="4" max="4" width="15" customWidth="1"/>
    <col min="5" max="5" width="16.88671875" customWidth="1"/>
    <col min="6" max="6" width="12.6640625" customWidth="1"/>
    <col min="8" max="8" width="17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H2" t="s">
        <v>115</v>
      </c>
      <c r="I2">
        <f>AVERAGE(D2:D35)</f>
        <v>293.52941176470586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H3" t="s">
        <v>116</v>
      </c>
      <c r="I3" s="2">
        <f>MEDIAN(D2:D35)</f>
        <v>130</v>
      </c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26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H5" t="s">
        <v>117</v>
      </c>
      <c r="I5" s="5">
        <f>AVERAGE(E2:E35)</f>
        <v>26.058823529411764</v>
      </c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 t="s">
        <v>74</v>
      </c>
      <c r="H6" t="s">
        <v>118</v>
      </c>
      <c r="I6">
        <f>MEDIAN(E2:E35)</f>
        <v>25</v>
      </c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>
        <v>130</v>
      </c>
      <c r="E7" s="8">
        <v>45</v>
      </c>
      <c r="F7" s="8" t="s">
        <v>28</v>
      </c>
    </row>
    <row r="8" spans="1:16" ht="15.75" customHeight="1" x14ac:dyDescent="0.25">
      <c r="A8" s="5" t="s">
        <v>46</v>
      </c>
      <c r="B8" s="5" t="s">
        <v>47</v>
      </c>
      <c r="C8" s="5" t="s">
        <v>48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49</v>
      </c>
      <c r="B9" s="8" t="s">
        <v>50</v>
      </c>
      <c r="C9" s="8" t="s">
        <v>51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52</v>
      </c>
      <c r="B10" s="5" t="s">
        <v>53</v>
      </c>
      <c r="C10" s="5" t="s">
        <v>54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55</v>
      </c>
      <c r="B11" s="8" t="s">
        <v>56</v>
      </c>
      <c r="C11" s="8" t="s">
        <v>57</v>
      </c>
      <c r="D11" s="8">
        <v>130</v>
      </c>
      <c r="E11" s="8">
        <v>10</v>
      </c>
      <c r="F11" s="8" t="s">
        <v>58</v>
      </c>
    </row>
    <row r="12" spans="1:16" ht="15.75" customHeight="1" x14ac:dyDescent="0.25">
      <c r="A12" s="5" t="s">
        <v>59</v>
      </c>
      <c r="B12" s="5" t="s">
        <v>60</v>
      </c>
      <c r="C12" s="5" t="s">
        <v>61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62</v>
      </c>
      <c r="B13" s="8" t="s">
        <v>30</v>
      </c>
      <c r="C13" s="8" t="s">
        <v>48</v>
      </c>
      <c r="D13" s="8">
        <v>90</v>
      </c>
      <c r="E13" s="8">
        <v>40</v>
      </c>
      <c r="F13" s="8" t="s">
        <v>32</v>
      </c>
    </row>
    <row r="14" spans="1:16" ht="15.75" customHeight="1" x14ac:dyDescent="0.25">
      <c r="A14" s="5" t="s">
        <v>63</v>
      </c>
      <c r="B14" s="5" t="s">
        <v>34</v>
      </c>
      <c r="C14" s="5" t="s">
        <v>64</v>
      </c>
      <c r="D14" s="5">
        <v>120</v>
      </c>
      <c r="E14" s="5">
        <v>35</v>
      </c>
      <c r="F14" s="5" t="s">
        <v>36</v>
      </c>
    </row>
    <row r="15" spans="1:16" ht="15.75" customHeight="1" x14ac:dyDescent="0.25">
      <c r="A15" s="8" t="s">
        <v>65</v>
      </c>
      <c r="B15" s="8" t="s">
        <v>66</v>
      </c>
      <c r="C15" s="8" t="s">
        <v>67</v>
      </c>
      <c r="D15" s="8">
        <v>150</v>
      </c>
      <c r="E15" s="8">
        <v>15</v>
      </c>
      <c r="F15" s="8" t="s">
        <v>28</v>
      </c>
    </row>
    <row r="16" spans="1:16" ht="15.75" customHeight="1" x14ac:dyDescent="0.25">
      <c r="A16" s="5" t="s">
        <v>68</v>
      </c>
      <c r="B16" s="5" t="s">
        <v>69</v>
      </c>
      <c r="C16" s="5" t="s">
        <v>70</v>
      </c>
      <c r="D16" s="5">
        <v>250</v>
      </c>
      <c r="E16" s="5">
        <v>20</v>
      </c>
      <c r="F16" s="5" t="s">
        <v>28</v>
      </c>
    </row>
    <row r="17" spans="1:6" ht="15.75" customHeight="1" x14ac:dyDescent="0.25">
      <c r="A17" s="8" t="s">
        <v>71</v>
      </c>
      <c r="B17" s="8" t="s">
        <v>72</v>
      </c>
      <c r="C17" s="8" t="s">
        <v>73</v>
      </c>
      <c r="D17" s="8">
        <v>50</v>
      </c>
      <c r="E17" s="8">
        <v>35</v>
      </c>
      <c r="F17" s="8" t="s">
        <v>74</v>
      </c>
    </row>
    <row r="18" spans="1:6" ht="15.75" customHeight="1" x14ac:dyDescent="0.25">
      <c r="A18" s="5" t="s">
        <v>75</v>
      </c>
      <c r="B18" s="5" t="s">
        <v>66</v>
      </c>
      <c r="C18" s="5" t="s">
        <v>76</v>
      </c>
      <c r="D18" s="5">
        <v>160</v>
      </c>
      <c r="E18" s="5">
        <v>15</v>
      </c>
      <c r="F18" s="5" t="s">
        <v>28</v>
      </c>
    </row>
    <row r="19" spans="1:6" ht="15.75" customHeight="1" x14ac:dyDescent="0.25">
      <c r="A19" s="8" t="s">
        <v>77</v>
      </c>
      <c r="B19" s="8" t="s">
        <v>26</v>
      </c>
      <c r="C19" s="8" t="s">
        <v>78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79</v>
      </c>
      <c r="B20" s="5" t="s">
        <v>80</v>
      </c>
      <c r="C20" s="5" t="s">
        <v>81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82</v>
      </c>
      <c r="B21" s="8" t="s">
        <v>83</v>
      </c>
      <c r="C21" s="8" t="s">
        <v>84</v>
      </c>
      <c r="D21" s="8">
        <v>130</v>
      </c>
      <c r="E21" s="8">
        <v>10</v>
      </c>
      <c r="F21" s="8" t="s">
        <v>58</v>
      </c>
    </row>
    <row r="22" spans="1:6" ht="15.75" customHeight="1" x14ac:dyDescent="0.25">
      <c r="A22" s="5" t="s">
        <v>85</v>
      </c>
      <c r="B22" s="5" t="s">
        <v>86</v>
      </c>
      <c r="C22" s="5" t="s">
        <v>87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88</v>
      </c>
      <c r="B23" s="8" t="s">
        <v>89</v>
      </c>
      <c r="C23" s="8" t="s">
        <v>90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91</v>
      </c>
      <c r="B24" s="5" t="s">
        <v>92</v>
      </c>
      <c r="C24" s="5" t="s">
        <v>93</v>
      </c>
      <c r="D24" s="5">
        <v>150</v>
      </c>
      <c r="E24" s="5">
        <v>30</v>
      </c>
      <c r="F24" s="5" t="s">
        <v>28</v>
      </c>
    </row>
    <row r="25" spans="1:6" ht="15.75" customHeight="1" x14ac:dyDescent="0.25">
      <c r="A25" s="8" t="s">
        <v>71</v>
      </c>
      <c r="B25" s="8" t="s">
        <v>72</v>
      </c>
      <c r="C25" s="8" t="s">
        <v>73</v>
      </c>
      <c r="D25" s="8">
        <v>50</v>
      </c>
      <c r="E25" s="8">
        <v>35</v>
      </c>
      <c r="F25" s="8" t="s">
        <v>74</v>
      </c>
    </row>
    <row r="26" spans="1:6" ht="15.75" customHeight="1" x14ac:dyDescent="0.25">
      <c r="A26" s="5" t="s">
        <v>94</v>
      </c>
      <c r="B26" s="5" t="s">
        <v>95</v>
      </c>
      <c r="C26" s="5" t="s">
        <v>96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97</v>
      </c>
      <c r="B27" s="8" t="s">
        <v>80</v>
      </c>
      <c r="C27" s="8" t="s">
        <v>98</v>
      </c>
      <c r="D27" s="8">
        <v>130</v>
      </c>
      <c r="E27" s="8">
        <v>25</v>
      </c>
      <c r="F27" s="8" t="s">
        <v>32</v>
      </c>
    </row>
    <row r="28" spans="1:6" ht="15.75" customHeight="1" x14ac:dyDescent="0.25">
      <c r="A28" s="5" t="s">
        <v>99</v>
      </c>
      <c r="B28" s="5" t="s">
        <v>50</v>
      </c>
      <c r="C28" s="5" t="s">
        <v>100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68</v>
      </c>
      <c r="B29" s="8" t="s">
        <v>69</v>
      </c>
      <c r="C29" s="8" t="s">
        <v>70</v>
      </c>
      <c r="D29" s="8">
        <v>250</v>
      </c>
      <c r="E29" s="8">
        <v>20</v>
      </c>
      <c r="F29" s="8" t="s">
        <v>28</v>
      </c>
    </row>
    <row r="30" spans="1:6" ht="15.75" customHeight="1" x14ac:dyDescent="0.25">
      <c r="A30" s="5" t="s">
        <v>101</v>
      </c>
      <c r="B30" s="5" t="s">
        <v>102</v>
      </c>
      <c r="C30" s="5" t="s">
        <v>103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104</v>
      </c>
      <c r="B31" s="8" t="s">
        <v>105</v>
      </c>
      <c r="C31" s="8" t="s">
        <v>106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107</v>
      </c>
      <c r="B32" s="5" t="s">
        <v>92</v>
      </c>
      <c r="C32" s="5" t="s">
        <v>108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109</v>
      </c>
      <c r="B33" s="8" t="s">
        <v>110</v>
      </c>
      <c r="C33" s="8" t="s">
        <v>111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59</v>
      </c>
      <c r="B34" s="5" t="s">
        <v>60</v>
      </c>
      <c r="C34" s="5" t="s">
        <v>61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112</v>
      </c>
      <c r="B35" s="8" t="s">
        <v>113</v>
      </c>
      <c r="C35" s="8" t="s">
        <v>114</v>
      </c>
      <c r="D35" s="8">
        <v>100</v>
      </c>
      <c r="E35" s="8">
        <v>20</v>
      </c>
      <c r="F35" s="8" t="s">
        <v>74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BCE8C-5CD5-477B-A060-2FBF0843E5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 (2)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Manikanta Perumalla</cp:lastModifiedBy>
  <dcterms:created xsi:type="dcterms:W3CDTF">2026-07-03T08:59:46Z</dcterms:created>
  <dcterms:modified xsi:type="dcterms:W3CDTF">2026-07-03T09:33:52Z</dcterms:modified>
</cp:coreProperties>
</file>