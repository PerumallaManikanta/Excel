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I GOWTHAM\Downloads\"/>
    </mc:Choice>
  </mc:AlternateContent>
  <xr:revisionPtr revIDLastSave="0" documentId="8_{743FD466-85AA-45C2-BB1B-09F657DBB85D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structions" sheetId="1" r:id="rId1"/>
    <sheet name="Dataset" sheetId="2" r:id="rId2"/>
  </sheets>
  <definedNames>
    <definedName name="_xlnm._FilterDatabase" localSheetId="1" hidden="1">Dataset!$A$1:$J$35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6" i="2" l="1"/>
  <c r="N13" i="2"/>
  <c r="N8" i="2"/>
  <c r="O2" i="2"/>
  <c r="M2" i="2" a="1"/>
  <c r="M2" i="2" s="1"/>
  <c r="L2" i="2" a="1"/>
  <c r="L2" i="2" s="1"/>
  <c r="K2" i="2" a="1"/>
  <c r="K2" i="2" s="1"/>
  <c r="J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G27" i="2"/>
  <c r="G19" i="2"/>
  <c r="G6" i="2"/>
  <c r="G29" i="2"/>
  <c r="G13" i="2"/>
  <c r="G35" i="2"/>
  <c r="G25" i="2"/>
  <c r="G9" i="2"/>
  <c r="G20" i="2"/>
  <c r="G4" i="2"/>
  <c r="N2" i="2" s="1"/>
  <c r="G26" i="2"/>
  <c r="G23" i="2"/>
  <c r="G16" i="2"/>
  <c r="G11" i="2"/>
  <c r="G31" i="2"/>
  <c r="G15" i="2"/>
  <c r="G3" i="2"/>
  <c r="G17" i="2"/>
  <c r="G14" i="2"/>
  <c r="G8" i="2"/>
  <c r="G28" i="2"/>
  <c r="G18" i="2"/>
  <c r="G32" i="2"/>
  <c r="G7" i="2"/>
  <c r="G21" i="2"/>
  <c r="G10" i="2"/>
  <c r="G12" i="2"/>
  <c r="G30" i="2"/>
  <c r="G34" i="2"/>
  <c r="G22" i="2"/>
  <c r="G33" i="2"/>
  <c r="G5" i="2"/>
  <c r="G24" i="2"/>
  <c r="G2" i="2"/>
  <c r="I2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<sst xmlns="http://schemas.openxmlformats.org/spreadsheetml/2006/main" count="185" uniqueCount="132">
  <si>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</si>
  <si>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</si>
  <si>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</si>
  <si>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</si>
  <si>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</si>
  <si>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</si>
  <si>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</si>
  <si>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</si>
  <si>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</si>
  <si>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</si>
  <si>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</si>
  <si>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</si>
  <si>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</si>
  <si>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</si>
  <si>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</si>
  <si>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</si>
  <si>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</si>
  <si>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</si>
  <si>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</si>
  <si>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</si>
  <si>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</si>
  <si>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</si>
  <si>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</si>
  <si>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</si>
  <si>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</si>
  <si>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</si>
  <si>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</si>
  <si>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</si>
  <si>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</si>
  <si>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</si>
  <si>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</si>
  <si>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</si>
  <si>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</si>
  <si>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</si>
  <si>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</si>
  <si>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</si>
  <si>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</si>
  <si>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</si>
  <si>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</si>
  <si>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</si>
  <si>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</si>
  <si>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</si>
  <si>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</si>
  <si>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</si>
  <si>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</si>
  <si>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</si>
  <si>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</si>
  <si>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</si>
  <si>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</si>
  <si>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</si>
  <si>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</si>
  <si>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</si>
  <si>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</si>
  <si>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</si>
  <si>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</si>
  <si>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</si>
  <si>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</si>
  <si>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</si>
  <si>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</si>
  <si>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</si>
  <si>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</si>
  <si>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</si>
  <si>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</si>
  <si>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</si>
  <si>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</si>
  <si>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</si>
  <si>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</si>
  <si>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</si>
  <si>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</si>
  <si>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</si>
  <si>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</si>
  <si>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</si>
  <si>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</si>
  <si>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</si>
  <si>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</si>
  <si>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</si>
  <si>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</si>
  <si>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</si>
  <si>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</si>
  <si>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</si>
  <si>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</si>
  <si>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</si>
  <si>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</si>
  <si>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</si>
  <si>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</si>
  <si>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</si>
  <si>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</si>
  <si>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</si>
  <si>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</si>
  <si>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</si>
  <si>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</si>
  <si>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</si>
  <si>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</si>
  <si>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</si>
  <si>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</si>
  <si>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</si>
  <si>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</si>
  <si>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</si>
  <si>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</si>
  <si>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</si>
  <si>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</si>
  <si>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</si>
  <si>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</si>
  <si>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</si>
  <si>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</si>
  <si>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</si>
  <si>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</si>
  <si>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</si>
  <si>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</si>
  <si>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</si>
  <si>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</t>
  </si>
  <si>
    <t>Total price of all products</t>
  </si>
  <si>
    <t>Average price of products</t>
  </si>
  <si>
    <t>min()</t>
  </si>
  <si>
    <t>average()</t>
  </si>
  <si>
    <t>count()</t>
  </si>
  <si>
    <t>sum()</t>
  </si>
  <si>
    <t>max()</t>
  </si>
  <si>
    <t>Price Range($)</t>
  </si>
  <si>
    <t>sumif()</t>
  </si>
  <si>
    <t>&lt;100($)</t>
  </si>
  <si>
    <t>countif()</t>
  </si>
  <si>
    <t>Day with the first 2 character in product id</t>
  </si>
  <si>
    <t>Created in dataset</t>
  </si>
  <si>
    <t>Country Code</t>
  </si>
  <si>
    <t>Month By</t>
  </si>
  <si>
    <t>Count of all products</t>
  </si>
  <si>
    <t>Minimum price of product</t>
  </si>
  <si>
    <t>Maximum price of product</t>
  </si>
  <si>
    <t>left()</t>
  </si>
  <si>
    <t>right()</t>
  </si>
  <si>
    <t>mid()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</si>
</sst>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2" fillId="3" borderId="0" xfId="0" applyFont="1" applyFill="1"/>
    <xf numFmtId="0" fontId="2" fillId="3" borderId="0" xfId="0" applyFont="1" applyFill="1" applyAlignment="1">
      <alignment horizontal="right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G18" sqref="G18"/>
    </sheetView>
  </sheetViews>
  <sheetFormatPr defaultColWidth="12.6640625" defaultRowHeight="15.75" customHeight="1" x14ac:dyDescent="0.25"/>
  <cols>
    <col min="13" max="13" width="16.6640625" customWidth="1"/>
    <col min="15" max="15" width="18.33203125" customWidth="1"/>
    <col min="16" max="16" width="16.109375" customWidth="1"/>
  </cols>
  <sheetData>
    <row r="1" spans="1:26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">
      <c r="A3" s="2"/>
      <c r="B3" s="3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">
      <c r="A4" s="2"/>
      <c r="B4" s="2"/>
      <c r="C4" s="4" t="s">
        <v>2</v>
      </c>
      <c r="D4" s="2"/>
      <c r="E4" s="2"/>
      <c r="F4" s="2"/>
      <c r="G4">
        <v>289700</v>
      </c>
      <c r="H4" s="2" t="s">
        <v>116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">
      <c r="A5" s="2"/>
      <c r="B5" s="2"/>
      <c r="C5" s="4" t="s">
        <v>3</v>
      </c>
      <c r="D5" s="2"/>
      <c r="E5" s="2"/>
      <c r="F5" s="2"/>
      <c r="G5" s="2">
        <v>34</v>
      </c>
      <c r="H5" s="2" t="s">
        <v>115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">
      <c r="A6" s="2"/>
      <c r="B6" s="2"/>
      <c r="C6" s="4" t="s">
        <v>4</v>
      </c>
      <c r="D6" s="2"/>
      <c r="E6" s="2"/>
      <c r="F6" s="2"/>
      <c r="G6">
        <v>297.05882350000002</v>
      </c>
      <c r="H6" s="2" t="s">
        <v>114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">
      <c r="A8" s="2"/>
      <c r="B8" s="3" t="s">
        <v>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">
      <c r="A9" s="2"/>
      <c r="B9" s="2"/>
      <c r="C9" s="4" t="s">
        <v>6</v>
      </c>
      <c r="D9" s="2"/>
      <c r="E9" s="2"/>
      <c r="F9" s="2"/>
      <c r="G9" s="2">
        <v>30</v>
      </c>
      <c r="H9" s="2" t="s">
        <v>113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">
      <c r="A10" s="2"/>
      <c r="B10" s="2"/>
      <c r="C10" s="4" t="s">
        <v>7</v>
      </c>
      <c r="D10" s="2"/>
      <c r="E10" s="2"/>
      <c r="F10" s="2"/>
      <c r="G10" s="2">
        <v>1000</v>
      </c>
      <c r="H10" s="2" t="s">
        <v>117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">
      <c r="A12" s="2"/>
      <c r="B12" s="3" t="s">
        <v>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">
      <c r="A13" s="2"/>
      <c r="B13" s="2"/>
      <c r="C13" s="4" t="s">
        <v>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 t="s">
        <v>123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">
      <c r="A15" s="2"/>
      <c r="B15" s="3" t="s">
        <v>10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">
      <c r="A16" s="2"/>
      <c r="B16" s="2"/>
      <c r="C16" s="4" t="s">
        <v>11</v>
      </c>
      <c r="D16" s="2"/>
      <c r="E16" s="2"/>
      <c r="F16" s="2"/>
      <c r="G16" s="2"/>
      <c r="H16" s="2"/>
      <c r="I16" s="2"/>
      <c r="J16" s="2">
        <v>234200</v>
      </c>
      <c r="K16" s="2" t="s">
        <v>119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">
      <c r="A17" s="2"/>
      <c r="B17" s="2"/>
      <c r="C17" s="4" t="s">
        <v>12</v>
      </c>
      <c r="D17" s="2"/>
      <c r="E17" s="2"/>
      <c r="F17" s="2"/>
      <c r="G17" s="2"/>
      <c r="H17" s="2"/>
      <c r="I17" s="2"/>
      <c r="J17" s="2">
        <v>11</v>
      </c>
      <c r="K17" s="2" t="s">
        <v>121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2"/>
      <c r="B19" s="3" t="s">
        <v>13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2"/>
      <c r="B20" s="2"/>
      <c r="C20" s="4" t="s">
        <v>14</v>
      </c>
      <c r="D20" s="2"/>
      <c r="E20" s="2"/>
      <c r="F20" s="2"/>
      <c r="G20" s="2"/>
      <c r="H20" s="2"/>
      <c r="I20" s="2"/>
      <c r="J20" s="2"/>
      <c r="K20" s="2"/>
      <c r="L20" s="2"/>
      <c r="M20" s="2" t="s">
        <v>123</v>
      </c>
      <c r="N20" s="2" t="s">
        <v>129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4" t="s">
        <v>15</v>
      </c>
      <c r="D21" s="2"/>
      <c r="E21" s="2"/>
      <c r="F21" s="2"/>
      <c r="G21" s="2"/>
      <c r="H21" s="2"/>
      <c r="I21" s="2"/>
      <c r="J21" s="2"/>
      <c r="K21" s="2"/>
      <c r="L21" s="2"/>
      <c r="M21" s="2" t="s">
        <v>123</v>
      </c>
      <c r="N21" s="2" t="s">
        <v>130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4" t="s">
        <v>16</v>
      </c>
      <c r="D22" s="2"/>
      <c r="E22" s="2"/>
      <c r="F22" s="2"/>
      <c r="G22" s="2"/>
      <c r="H22" s="2"/>
      <c r="I22" s="2"/>
      <c r="J22" s="2"/>
      <c r="K22" s="2"/>
      <c r="L22" s="2"/>
      <c r="M22" s="2" t="s">
        <v>123</v>
      </c>
      <c r="N22" s="2" t="s">
        <v>131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2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2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2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2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2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2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2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2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2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2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2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2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2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2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2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2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2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2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2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2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2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2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2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2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2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2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2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2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2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2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2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2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2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2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2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2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2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2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2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2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2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2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2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2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2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2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2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2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2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2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2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2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2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2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2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2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2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2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2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2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2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2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2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2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2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2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2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2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2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2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2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2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2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2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2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2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2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2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2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2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2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2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2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2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2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2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2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2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2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2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2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2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2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2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2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2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2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2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2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2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2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2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2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2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2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2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2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2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2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2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2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2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2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2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2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2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2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2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2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2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2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2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2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2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2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2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2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2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2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2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2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2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2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2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2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2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2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2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2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2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2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2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2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2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2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2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2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2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2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2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2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2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2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2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2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2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2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2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2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2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2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2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2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2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2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2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2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2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2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2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2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2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2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2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2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2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2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2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2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2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2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2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2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2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2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2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2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2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2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2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2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2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2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2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2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2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2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2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2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2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2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2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2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2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2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2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2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2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2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2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2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2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2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2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2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2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2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2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2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2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2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2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2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2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2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2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2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2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2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2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2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2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2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2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2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2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2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2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2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2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2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2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2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2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2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2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2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2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2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2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2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2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2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2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2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2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2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2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2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2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2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2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2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2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2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2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2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2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2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2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2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2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2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2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2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2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2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2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2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2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2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2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2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2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2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2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2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2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2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2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2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2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2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2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2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2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2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2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2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2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2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2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2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2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2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2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2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2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2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2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2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2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2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2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2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2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2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2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2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2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2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2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2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2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2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2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2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2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2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2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2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2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2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2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2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2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2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2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2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2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2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2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2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2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2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2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2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2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2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2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2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2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2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2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2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2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2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2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2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2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2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2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2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2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2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2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2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2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2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2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2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2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2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2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2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2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2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2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2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2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2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2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2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2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2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2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2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2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2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2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2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2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2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2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2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2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2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2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2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2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2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2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2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2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2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2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2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2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2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2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2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2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2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2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2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2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2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2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2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2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2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2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2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2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2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2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2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2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2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2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2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2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2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2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2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2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2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2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2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2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2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2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2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2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2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2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2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2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2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2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2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2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2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2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2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2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2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2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2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2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2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2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2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2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2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2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2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2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2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2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2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2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2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2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2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2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2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2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2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2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2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2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2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2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2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2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2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2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2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2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2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2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2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2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2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2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2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2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2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2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2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2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2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2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2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2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2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2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2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2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2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2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2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2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2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2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2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2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2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2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2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2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2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2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2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2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2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2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2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2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2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2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2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2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2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2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2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2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2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2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2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2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2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2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2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2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2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2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2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2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2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2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2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2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2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2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2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2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2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2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2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2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2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2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2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2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2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2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2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2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2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2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2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2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2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2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2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2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2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2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2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2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2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2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2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2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2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2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2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2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2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2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2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2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2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2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2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2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2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2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2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2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2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2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2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2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2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2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2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2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2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2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2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2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2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2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2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2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2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2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2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2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2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2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2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2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2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2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2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2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2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2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2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2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2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2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2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2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2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2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2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2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2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2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2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2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2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2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2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2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2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2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2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2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2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2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2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2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2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2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2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2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2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2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2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2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2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2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2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2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2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2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2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2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2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2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2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2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2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2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2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2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2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2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2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2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2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2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2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2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2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2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2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2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2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2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2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2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2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2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2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2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2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2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2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2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2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2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2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2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2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2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2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2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2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2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2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2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2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2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2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2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2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2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2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2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2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2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2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2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2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2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2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2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2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2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2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2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2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2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2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2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2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2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2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2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2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2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2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2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2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2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2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2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2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2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2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2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2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2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2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2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2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2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2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2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2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2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2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2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2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2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2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2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2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2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2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2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2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2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2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2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2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2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2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2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2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2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2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2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2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2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2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2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2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2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2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2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2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2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2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2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2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2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2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2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2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2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2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2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2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2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2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2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2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2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2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2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2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2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2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2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2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2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2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2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2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2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2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2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2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2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2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2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2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2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2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2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2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2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2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2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2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2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2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2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2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2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2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2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2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2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2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2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2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2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2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2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2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2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2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2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2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2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2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2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2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2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2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2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2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2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2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2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2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2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2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2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2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2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2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2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2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2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2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2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2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2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2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2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2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2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2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2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2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2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2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2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2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2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2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2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2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2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2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2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2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2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2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2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2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2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2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2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2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2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2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2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2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2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2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2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2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2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2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2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2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2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2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2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2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2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2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2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2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2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2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2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2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2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2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2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2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2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2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2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2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2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2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2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2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2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2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2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2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2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2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2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2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2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2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2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2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2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35"/>
  <sheetViews>
    <sheetView tabSelected="1" topLeftCell="E1" workbookViewId="0">
      <selection activeCell="L7" sqref="L7"/>
    </sheetView>
  </sheetViews>
  <sheetFormatPr defaultColWidth="12.6640625" defaultRowHeight="15.75" customHeight="1" x14ac:dyDescent="0.25"/>
  <cols>
    <col min="8" max="8" width="18.6640625" customWidth="1"/>
    <col min="9" max="9" width="23.5546875" customWidth="1"/>
    <col min="11" max="11" width="43" customWidth="1"/>
    <col min="14" max="14" width="24.33203125" customWidth="1"/>
    <col min="15" max="15" width="20.77734375" customWidth="1"/>
  </cols>
  <sheetData>
    <row r="1" spans="1:15" ht="13.2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110</v>
      </c>
      <c r="H1" s="5" t="s">
        <v>118</v>
      </c>
      <c r="I1" s="5" t="s">
        <v>26</v>
      </c>
      <c r="J1" s="5" t="s">
        <v>120</v>
      </c>
      <c r="K1" s="5" t="s">
        <v>122</v>
      </c>
      <c r="L1" s="5" t="s">
        <v>124</v>
      </c>
      <c r="M1" s="5" t="s">
        <v>125</v>
      </c>
      <c r="N1" s="5" t="s">
        <v>111</v>
      </c>
      <c r="O1" s="5" t="s">
        <v>126</v>
      </c>
    </row>
    <row r="2" spans="1:15" ht="13.2" x14ac:dyDescent="0.25">
      <c r="A2" s="2" t="s">
        <v>23</v>
      </c>
      <c r="B2" s="2" t="s">
        <v>24</v>
      </c>
      <c r="C2" s="2" t="s">
        <v>25</v>
      </c>
      <c r="D2" s="6">
        <v>1000</v>
      </c>
      <c r="E2" s="6">
        <v>30</v>
      </c>
      <c r="F2" s="2" t="s">
        <v>26</v>
      </c>
      <c r="G2">
        <f>(D2*E2)</f>
        <v>30000</v>
      </c>
      <c r="H2" t="str">
        <f>IF(D2&gt;=500,"High price","standard price")</f>
        <v>High price</v>
      </c>
      <c r="I2">
        <f>SUMIF(F2:F35,"Electronics",G2:G35)</f>
        <v>234200</v>
      </c>
      <c r="J2">
        <f>COUNTIF(D2:D35,"&lt;100")</f>
        <v>11</v>
      </c>
      <c r="K2" s="9" t="str" cm="1">
        <f t="array" ref="K2:K35">LEFT(A2:A35,2)</f>
        <v>28</v>
      </c>
      <c r="L2" t="str" cm="1">
        <f t="array" ref="L2:L35">RIGHT(A2:A35,2)</f>
        <v>US</v>
      </c>
      <c r="M2" t="str" cm="1">
        <f t="array" ref="M2:M35">MID(A2:A35,4,3)</f>
        <v>JAN</v>
      </c>
      <c r="N2">
        <f>SUM(G2:G35)</f>
        <v>289700</v>
      </c>
      <c r="O2">
        <f>COUNT(D2:D35)</f>
        <v>34</v>
      </c>
    </row>
    <row r="3" spans="1:15" ht="13.2" x14ac:dyDescent="0.25">
      <c r="A3" s="7" t="s">
        <v>73</v>
      </c>
      <c r="B3" s="7" t="s">
        <v>24</v>
      </c>
      <c r="C3" s="7" t="s">
        <v>74</v>
      </c>
      <c r="D3" s="8">
        <v>980</v>
      </c>
      <c r="E3" s="8">
        <v>10</v>
      </c>
      <c r="F3" s="7" t="s">
        <v>26</v>
      </c>
      <c r="G3">
        <f>(D3*E3)</f>
        <v>9800</v>
      </c>
      <c r="H3" t="str">
        <f t="shared" ref="H3:H35" si="0">IF(D3&gt;=500,"High price","standard price")</f>
        <v>High price</v>
      </c>
      <c r="K3" s="9" t="str">
        <v>27</v>
      </c>
      <c r="L3" t="str">
        <v>IT</v>
      </c>
      <c r="M3" t="str">
        <v>JAN</v>
      </c>
    </row>
    <row r="4" spans="1:15" ht="13.2" x14ac:dyDescent="0.25">
      <c r="A4" s="2" t="s">
        <v>57</v>
      </c>
      <c r="B4" s="2" t="s">
        <v>24</v>
      </c>
      <c r="C4" s="2" t="s">
        <v>58</v>
      </c>
      <c r="D4" s="6">
        <v>950</v>
      </c>
      <c r="E4" s="6">
        <v>25</v>
      </c>
      <c r="F4" s="2" t="s">
        <v>26</v>
      </c>
      <c r="G4">
        <f>(D4*E4)</f>
        <v>23750</v>
      </c>
      <c r="H4" t="str">
        <f t="shared" si="0"/>
        <v>High price</v>
      </c>
      <c r="K4" s="9" t="str">
        <v>17</v>
      </c>
      <c r="L4" t="str">
        <v>IN</v>
      </c>
      <c r="M4" t="str">
        <v>JUN</v>
      </c>
    </row>
    <row r="5" spans="1:15" ht="15.75" customHeight="1" x14ac:dyDescent="0.25">
      <c r="A5" s="2" t="s">
        <v>57</v>
      </c>
      <c r="B5" s="2" t="s">
        <v>24</v>
      </c>
      <c r="C5" s="2" t="s">
        <v>58</v>
      </c>
      <c r="D5" s="6">
        <v>950</v>
      </c>
      <c r="E5" s="6">
        <v>25</v>
      </c>
      <c r="F5" s="2" t="s">
        <v>26</v>
      </c>
      <c r="G5">
        <f>(D5*E5)</f>
        <v>23750</v>
      </c>
      <c r="H5" t="str">
        <f t="shared" si="0"/>
        <v>High price</v>
      </c>
      <c r="K5" s="9" t="str">
        <v>17</v>
      </c>
      <c r="L5" t="str">
        <v>IN</v>
      </c>
      <c r="M5" t="str">
        <v>JUN</v>
      </c>
    </row>
    <row r="6" spans="1:15" ht="13.2" x14ac:dyDescent="0.25">
      <c r="A6" s="7" t="s">
        <v>35</v>
      </c>
      <c r="B6" s="7" t="s">
        <v>36</v>
      </c>
      <c r="C6" s="7" t="s">
        <v>37</v>
      </c>
      <c r="D6" s="8">
        <v>900</v>
      </c>
      <c r="E6" s="8">
        <v>25</v>
      </c>
      <c r="F6" s="7" t="s">
        <v>26</v>
      </c>
      <c r="G6">
        <f>(D6*E6)</f>
        <v>22500</v>
      </c>
      <c r="H6" t="str">
        <f t="shared" si="0"/>
        <v>High price</v>
      </c>
      <c r="K6" s="9" t="str">
        <v>11</v>
      </c>
      <c r="L6" t="str">
        <v>US</v>
      </c>
      <c r="M6" t="str">
        <v>APR</v>
      </c>
    </row>
    <row r="7" spans="1:15" ht="13.2" x14ac:dyDescent="0.25">
      <c r="A7" s="2" t="s">
        <v>90</v>
      </c>
      <c r="B7" s="2" t="s">
        <v>36</v>
      </c>
      <c r="C7" s="2" t="s">
        <v>91</v>
      </c>
      <c r="D7" s="6">
        <v>800</v>
      </c>
      <c r="E7" s="6">
        <v>45</v>
      </c>
      <c r="F7" s="2" t="s">
        <v>26</v>
      </c>
      <c r="G7">
        <f>(D7*E7)</f>
        <v>36000</v>
      </c>
      <c r="H7" t="str">
        <f t="shared" si="0"/>
        <v>High price</v>
      </c>
      <c r="K7" s="9" t="str">
        <v>29</v>
      </c>
      <c r="L7" t="str">
        <v>CA</v>
      </c>
      <c r="M7" t="str">
        <v>SEP</v>
      </c>
      <c r="N7" t="s">
        <v>112</v>
      </c>
    </row>
    <row r="8" spans="1:15" ht="13.2" x14ac:dyDescent="0.25">
      <c r="A8" s="2" t="s">
        <v>81</v>
      </c>
      <c r="B8" s="2" t="s">
        <v>82</v>
      </c>
      <c r="C8" s="2" t="s">
        <v>83</v>
      </c>
      <c r="D8" s="6">
        <v>700</v>
      </c>
      <c r="E8" s="6">
        <v>50</v>
      </c>
      <c r="F8" s="2" t="s">
        <v>26</v>
      </c>
      <c r="G8">
        <f>(D8*E8)</f>
        <v>35000</v>
      </c>
      <c r="H8" t="str">
        <f t="shared" si="0"/>
        <v>High price</v>
      </c>
      <c r="K8" s="9" t="str">
        <v>14</v>
      </c>
      <c r="L8" t="str">
        <v>RU</v>
      </c>
      <c r="M8" t="str">
        <v>MAY</v>
      </c>
      <c r="N8">
        <f>AVERAGE(D2:D35)</f>
        <v>297.05882352941177</v>
      </c>
    </row>
    <row r="9" spans="1:15" ht="13.2" x14ac:dyDescent="0.25">
      <c r="A9" s="2" t="s">
        <v>51</v>
      </c>
      <c r="B9" s="2" t="s">
        <v>52</v>
      </c>
      <c r="C9" s="2" t="s">
        <v>53</v>
      </c>
      <c r="D9" s="6">
        <v>500</v>
      </c>
      <c r="E9" s="6">
        <v>50</v>
      </c>
      <c r="F9" s="2" t="s">
        <v>26</v>
      </c>
      <c r="G9">
        <f>(D9*E9)</f>
        <v>25000</v>
      </c>
      <c r="H9" t="str">
        <f t="shared" si="0"/>
        <v>High price</v>
      </c>
      <c r="K9" s="9" t="str">
        <v>05</v>
      </c>
      <c r="L9" t="str">
        <v>UK</v>
      </c>
      <c r="M9" t="str">
        <v>SEP</v>
      </c>
    </row>
    <row r="10" spans="1:15" ht="13.2" x14ac:dyDescent="0.25">
      <c r="A10" s="2" t="s">
        <v>94</v>
      </c>
      <c r="B10" s="2" t="s">
        <v>49</v>
      </c>
      <c r="C10" s="2" t="s">
        <v>95</v>
      </c>
      <c r="D10" s="6">
        <v>400</v>
      </c>
      <c r="E10" s="6">
        <v>40</v>
      </c>
      <c r="F10" s="2" t="s">
        <v>34</v>
      </c>
      <c r="G10">
        <f>(D10*E10)</f>
        <v>16000</v>
      </c>
      <c r="H10" t="str">
        <f t="shared" si="0"/>
        <v>standard price</v>
      </c>
      <c r="K10" s="9" t="str">
        <v>11</v>
      </c>
      <c r="L10" t="str">
        <v>CA</v>
      </c>
      <c r="M10" t="str">
        <v>JUL</v>
      </c>
    </row>
    <row r="11" spans="1:15" ht="13.2" x14ac:dyDescent="0.25">
      <c r="A11" s="2" t="s">
        <v>65</v>
      </c>
      <c r="B11" s="2" t="s">
        <v>43</v>
      </c>
      <c r="C11" s="2" t="s">
        <v>66</v>
      </c>
      <c r="D11" s="6">
        <v>250</v>
      </c>
      <c r="E11" s="6">
        <v>20</v>
      </c>
      <c r="F11" s="2" t="s">
        <v>26</v>
      </c>
      <c r="G11">
        <f>(D11*E11)</f>
        <v>5000</v>
      </c>
      <c r="H11" t="str">
        <f t="shared" si="0"/>
        <v>standard price</v>
      </c>
      <c r="K11" s="9" t="str">
        <v>16</v>
      </c>
      <c r="L11" t="str">
        <v>ES</v>
      </c>
      <c r="M11" t="str">
        <v>APR</v>
      </c>
    </row>
    <row r="12" spans="1:15" ht="13.2" x14ac:dyDescent="0.25">
      <c r="A12" s="7" t="s">
        <v>65</v>
      </c>
      <c r="B12" s="7" t="s">
        <v>43</v>
      </c>
      <c r="C12" s="7" t="s">
        <v>66</v>
      </c>
      <c r="D12" s="8">
        <v>230</v>
      </c>
      <c r="E12" s="8">
        <v>20</v>
      </c>
      <c r="F12" s="7" t="s">
        <v>26</v>
      </c>
      <c r="G12">
        <f>(D12*E12)</f>
        <v>4600</v>
      </c>
      <c r="H12" t="str">
        <f t="shared" si="0"/>
        <v>standard price</v>
      </c>
      <c r="K12" s="9" t="str">
        <v>16</v>
      </c>
      <c r="L12" t="str">
        <v>ES</v>
      </c>
      <c r="M12" t="str">
        <v>APR</v>
      </c>
      <c r="N12" t="s">
        <v>127</v>
      </c>
    </row>
    <row r="13" spans="1:15" ht="13.2" x14ac:dyDescent="0.25">
      <c r="A13" s="7" t="s">
        <v>42</v>
      </c>
      <c r="B13" s="7" t="s">
        <v>43</v>
      </c>
      <c r="C13" s="7" t="s">
        <v>44</v>
      </c>
      <c r="D13" s="8">
        <v>200</v>
      </c>
      <c r="E13" s="8">
        <v>45</v>
      </c>
      <c r="F13" s="7" t="s">
        <v>26</v>
      </c>
      <c r="G13">
        <f>(D13*E13)</f>
        <v>9000</v>
      </c>
      <c r="H13" t="str">
        <f t="shared" si="0"/>
        <v>standard price</v>
      </c>
      <c r="K13" s="9" t="str">
        <v>07</v>
      </c>
      <c r="L13" t="str">
        <v>UK</v>
      </c>
      <c r="M13" t="str">
        <v>JUN</v>
      </c>
      <c r="N13">
        <f>MIN(D2:D35)</f>
        <v>30</v>
      </c>
    </row>
    <row r="14" spans="1:15" ht="13.2" x14ac:dyDescent="0.25">
      <c r="A14" s="7" t="s">
        <v>78</v>
      </c>
      <c r="B14" s="7" t="s">
        <v>79</v>
      </c>
      <c r="C14" s="7" t="s">
        <v>80</v>
      </c>
      <c r="D14" s="8">
        <v>200</v>
      </c>
      <c r="E14" s="8">
        <v>10</v>
      </c>
      <c r="F14" s="7" t="s">
        <v>41</v>
      </c>
      <c r="G14">
        <f>(D14*E14)</f>
        <v>2000</v>
      </c>
      <c r="H14" t="str">
        <f t="shared" si="0"/>
        <v>standard price</v>
      </c>
      <c r="K14" s="9" t="str">
        <v>14</v>
      </c>
      <c r="L14" t="str">
        <v>US</v>
      </c>
      <c r="M14" t="str">
        <v>AUG</v>
      </c>
    </row>
    <row r="15" spans="1:15" ht="13.2" x14ac:dyDescent="0.25">
      <c r="A15" s="2" t="s">
        <v>71</v>
      </c>
      <c r="B15" s="2" t="s">
        <v>63</v>
      </c>
      <c r="C15" s="2" t="s">
        <v>72</v>
      </c>
      <c r="D15" s="6">
        <v>160</v>
      </c>
      <c r="E15" s="6">
        <v>15</v>
      </c>
      <c r="F15" s="2" t="s">
        <v>26</v>
      </c>
      <c r="G15">
        <f>(D15*E15)</f>
        <v>2400</v>
      </c>
      <c r="H15" t="str">
        <f t="shared" si="0"/>
        <v>standard price</v>
      </c>
      <c r="K15" s="9" t="str">
        <v>20</v>
      </c>
      <c r="L15" t="str">
        <v>CN</v>
      </c>
      <c r="M15" t="str">
        <v>AUG</v>
      </c>
      <c r="N15" t="s">
        <v>128</v>
      </c>
    </row>
    <row r="16" spans="1:15" ht="13.2" x14ac:dyDescent="0.25">
      <c r="A16" s="7" t="s">
        <v>62</v>
      </c>
      <c r="B16" s="7" t="s">
        <v>63</v>
      </c>
      <c r="C16" s="7" t="s">
        <v>64</v>
      </c>
      <c r="D16" s="8">
        <v>150</v>
      </c>
      <c r="E16" s="8">
        <v>15</v>
      </c>
      <c r="F16" s="7" t="s">
        <v>26</v>
      </c>
      <c r="G16">
        <f>(D16*E16)</f>
        <v>2250</v>
      </c>
      <c r="H16" t="str">
        <f t="shared" si="0"/>
        <v>standard price</v>
      </c>
      <c r="K16" s="9" t="str">
        <v>18</v>
      </c>
      <c r="L16" t="str">
        <v>CA</v>
      </c>
      <c r="M16" t="str">
        <v>FEB</v>
      </c>
      <c r="N16">
        <f>MAX(D2:D35)</f>
        <v>1000</v>
      </c>
    </row>
    <row r="17" spans="1:13" ht="13.2" x14ac:dyDescent="0.25">
      <c r="A17" s="2" t="s">
        <v>75</v>
      </c>
      <c r="B17" s="2" t="s">
        <v>76</v>
      </c>
      <c r="C17" s="2" t="s">
        <v>77</v>
      </c>
      <c r="D17" s="6">
        <v>150</v>
      </c>
      <c r="E17" s="6">
        <v>15</v>
      </c>
      <c r="F17" s="2" t="s">
        <v>30</v>
      </c>
      <c r="G17">
        <f>(D17*E17)</f>
        <v>2250</v>
      </c>
      <c r="H17" t="str">
        <f t="shared" si="0"/>
        <v>standard price</v>
      </c>
      <c r="K17" s="9" t="str">
        <v>01</v>
      </c>
      <c r="L17" t="str">
        <v>UK</v>
      </c>
      <c r="M17" t="str">
        <v>MAR</v>
      </c>
    </row>
    <row r="18" spans="1:13" ht="13.2" x14ac:dyDescent="0.25">
      <c r="A18" s="2" t="s">
        <v>87</v>
      </c>
      <c r="B18" s="2" t="s">
        <v>88</v>
      </c>
      <c r="C18" s="2" t="s">
        <v>89</v>
      </c>
      <c r="D18" s="6">
        <v>150</v>
      </c>
      <c r="E18" s="6">
        <v>30</v>
      </c>
      <c r="F18" s="2" t="s">
        <v>26</v>
      </c>
      <c r="G18">
        <f>(D18*E18)</f>
        <v>4500</v>
      </c>
      <c r="H18" t="str">
        <f t="shared" si="0"/>
        <v>standard price</v>
      </c>
      <c r="K18" s="9" t="str">
        <v>19</v>
      </c>
      <c r="L18" t="str">
        <v>BR</v>
      </c>
      <c r="M18" t="str">
        <v>JUL</v>
      </c>
    </row>
    <row r="19" spans="1:13" ht="13.2" x14ac:dyDescent="0.25">
      <c r="A19" s="2" t="s">
        <v>31</v>
      </c>
      <c r="B19" s="2" t="s">
        <v>32</v>
      </c>
      <c r="C19" s="2" t="s">
        <v>33</v>
      </c>
      <c r="D19" s="6">
        <v>130</v>
      </c>
      <c r="E19" s="6">
        <v>40</v>
      </c>
      <c r="F19" s="2" t="s">
        <v>34</v>
      </c>
      <c r="G19">
        <f>(D19*E19)</f>
        <v>5200</v>
      </c>
      <c r="H19" t="str">
        <f t="shared" si="0"/>
        <v>standard price</v>
      </c>
      <c r="K19" s="9" t="str">
        <v>03</v>
      </c>
      <c r="L19" t="str">
        <v>US</v>
      </c>
      <c r="M19" t="str">
        <v>MAR</v>
      </c>
    </row>
    <row r="20" spans="1:13" ht="13.2" x14ac:dyDescent="0.25">
      <c r="A20" s="7" t="s">
        <v>54</v>
      </c>
      <c r="B20" s="7" t="s">
        <v>55</v>
      </c>
      <c r="C20" s="7" t="s">
        <v>56</v>
      </c>
      <c r="D20" s="8">
        <v>130</v>
      </c>
      <c r="E20" s="8">
        <v>10</v>
      </c>
      <c r="F20" s="7" t="s">
        <v>41</v>
      </c>
      <c r="G20">
        <f>(D20*E20)</f>
        <v>1300</v>
      </c>
      <c r="H20" t="str">
        <f t="shared" si="0"/>
        <v>standard price</v>
      </c>
      <c r="K20" s="9" t="str">
        <v>14</v>
      </c>
      <c r="L20" t="str">
        <v>UK</v>
      </c>
      <c r="M20" t="str">
        <v>OCT</v>
      </c>
    </row>
    <row r="21" spans="1:13" ht="13.2" x14ac:dyDescent="0.25">
      <c r="A21" s="7" t="s">
        <v>92</v>
      </c>
      <c r="B21" s="7" t="s">
        <v>76</v>
      </c>
      <c r="C21" s="7" t="s">
        <v>93</v>
      </c>
      <c r="D21" s="8">
        <v>130</v>
      </c>
      <c r="E21" s="8">
        <v>25</v>
      </c>
      <c r="F21" s="7" t="s">
        <v>30</v>
      </c>
      <c r="G21">
        <f>(D21*E21)</f>
        <v>3250</v>
      </c>
      <c r="H21" t="str">
        <f t="shared" si="0"/>
        <v>standard price</v>
      </c>
      <c r="K21" s="9" t="str">
        <v>03</v>
      </c>
      <c r="L21" t="str">
        <v>CA</v>
      </c>
      <c r="M21" t="str">
        <v>JUN</v>
      </c>
    </row>
    <row r="22" spans="1:13" ht="13.2" x14ac:dyDescent="0.25">
      <c r="A22" s="2" t="s">
        <v>102</v>
      </c>
      <c r="B22" s="2" t="s">
        <v>88</v>
      </c>
      <c r="C22" s="2" t="s">
        <v>103</v>
      </c>
      <c r="D22" s="6">
        <v>130</v>
      </c>
      <c r="E22" s="6">
        <v>5</v>
      </c>
      <c r="F22" s="2" t="s">
        <v>26</v>
      </c>
      <c r="G22">
        <f>(D22*E22)</f>
        <v>650</v>
      </c>
      <c r="H22" t="str">
        <f t="shared" si="0"/>
        <v>standard price</v>
      </c>
      <c r="K22" s="9" t="str">
        <v>24</v>
      </c>
      <c r="L22" t="str">
        <v>CA</v>
      </c>
      <c r="M22" t="str">
        <v>MAY</v>
      </c>
    </row>
    <row r="23" spans="1:13" ht="13.2" x14ac:dyDescent="0.25">
      <c r="A23" s="2" t="s">
        <v>60</v>
      </c>
      <c r="B23" s="2" t="s">
        <v>32</v>
      </c>
      <c r="C23" s="2" t="s">
        <v>61</v>
      </c>
      <c r="D23" s="6">
        <v>120</v>
      </c>
      <c r="E23" s="6">
        <v>35</v>
      </c>
      <c r="F23" s="2" t="s">
        <v>34</v>
      </c>
      <c r="G23">
        <f>(D23*E23)</f>
        <v>4200</v>
      </c>
      <c r="H23" t="str">
        <f t="shared" si="0"/>
        <v>standard price</v>
      </c>
      <c r="K23" s="9" t="str">
        <v>08</v>
      </c>
      <c r="L23" t="str">
        <v>DE</v>
      </c>
      <c r="M23" t="str">
        <v>DEC</v>
      </c>
    </row>
    <row r="24" spans="1:13" ht="13.2" x14ac:dyDescent="0.25">
      <c r="A24" s="7" t="s">
        <v>107</v>
      </c>
      <c r="B24" s="7" t="s">
        <v>108</v>
      </c>
      <c r="C24" s="7" t="s">
        <v>109</v>
      </c>
      <c r="D24" s="8">
        <v>100</v>
      </c>
      <c r="E24" s="8">
        <v>20</v>
      </c>
      <c r="F24" s="7" t="s">
        <v>70</v>
      </c>
      <c r="G24">
        <f>(D24*E24)</f>
        <v>2000</v>
      </c>
      <c r="H24" t="str">
        <f t="shared" si="0"/>
        <v>standard price</v>
      </c>
      <c r="K24" s="9" t="str">
        <v>09</v>
      </c>
      <c r="L24" t="str">
        <v>FR</v>
      </c>
      <c r="M24" t="str">
        <v>JUL</v>
      </c>
    </row>
    <row r="25" spans="1:13" ht="13.2" x14ac:dyDescent="0.25">
      <c r="A25" s="7" t="s">
        <v>48</v>
      </c>
      <c r="B25" s="7" t="s">
        <v>49</v>
      </c>
      <c r="C25" s="7" t="s">
        <v>50</v>
      </c>
      <c r="D25" s="8">
        <v>90</v>
      </c>
      <c r="E25" s="8">
        <v>35</v>
      </c>
      <c r="F25" s="7" t="s">
        <v>34</v>
      </c>
      <c r="G25">
        <f>(D25*E25)</f>
        <v>3150</v>
      </c>
      <c r="H25" t="str">
        <f t="shared" si="0"/>
        <v>standard price</v>
      </c>
      <c r="K25" s="9" t="str">
        <v>23</v>
      </c>
      <c r="L25" t="str">
        <v>UK</v>
      </c>
      <c r="M25" t="str">
        <v>AUG</v>
      </c>
    </row>
    <row r="26" spans="1:13" ht="13.2" x14ac:dyDescent="0.25">
      <c r="A26" s="7" t="s">
        <v>59</v>
      </c>
      <c r="B26" s="7" t="s">
        <v>28</v>
      </c>
      <c r="C26" s="7" t="s">
        <v>47</v>
      </c>
      <c r="D26" s="8">
        <v>90</v>
      </c>
      <c r="E26" s="8">
        <v>40</v>
      </c>
      <c r="F26" s="7" t="s">
        <v>30</v>
      </c>
      <c r="G26">
        <f>(D26*E26)</f>
        <v>3600</v>
      </c>
      <c r="H26" t="str">
        <f t="shared" si="0"/>
        <v>standard price</v>
      </c>
      <c r="K26" s="9" t="str">
        <v>25</v>
      </c>
      <c r="L26" t="str">
        <v>AU</v>
      </c>
      <c r="M26" t="str">
        <v>NOV</v>
      </c>
    </row>
    <row r="27" spans="1:13" ht="13.2" x14ac:dyDescent="0.25">
      <c r="A27" s="7" t="s">
        <v>27</v>
      </c>
      <c r="B27" s="7" t="s">
        <v>28</v>
      </c>
      <c r="C27" s="7" t="s">
        <v>29</v>
      </c>
      <c r="D27" s="8">
        <v>80</v>
      </c>
      <c r="E27" s="8">
        <v>15</v>
      </c>
      <c r="F27" s="7" t="s">
        <v>30</v>
      </c>
      <c r="G27">
        <f>(D27*E27)</f>
        <v>1200</v>
      </c>
      <c r="H27" t="str">
        <f t="shared" si="0"/>
        <v>standard price</v>
      </c>
      <c r="K27" s="9" t="str">
        <v>15</v>
      </c>
      <c r="L27" t="str">
        <v>US</v>
      </c>
      <c r="M27" t="str">
        <v>FEB</v>
      </c>
    </row>
    <row r="28" spans="1:13" ht="13.2" x14ac:dyDescent="0.25">
      <c r="A28" s="7" t="s">
        <v>84</v>
      </c>
      <c r="B28" s="7" t="s">
        <v>85</v>
      </c>
      <c r="C28" s="7" t="s">
        <v>86</v>
      </c>
      <c r="D28" s="8">
        <v>80</v>
      </c>
      <c r="E28" s="8">
        <v>20</v>
      </c>
      <c r="F28" s="7" t="s">
        <v>34</v>
      </c>
      <c r="G28">
        <f>(D28*E28)</f>
        <v>1600</v>
      </c>
      <c r="H28" t="str">
        <f t="shared" si="0"/>
        <v>standard price</v>
      </c>
      <c r="K28" s="9" t="str">
        <v>09</v>
      </c>
      <c r="L28" t="str">
        <v>CA</v>
      </c>
      <c r="M28" t="str">
        <v>JAN</v>
      </c>
    </row>
    <row r="29" spans="1:13" ht="13.2" x14ac:dyDescent="0.25">
      <c r="A29" s="2" t="s">
        <v>38</v>
      </c>
      <c r="B29" s="2" t="s">
        <v>39</v>
      </c>
      <c r="C29" s="2" t="s">
        <v>40</v>
      </c>
      <c r="D29" s="6">
        <v>70</v>
      </c>
      <c r="E29" s="6">
        <v>20</v>
      </c>
      <c r="F29" s="2" t="s">
        <v>41</v>
      </c>
      <c r="G29">
        <f>(D29*E29)</f>
        <v>1400</v>
      </c>
      <c r="H29" t="str">
        <f t="shared" si="0"/>
        <v>standard price</v>
      </c>
      <c r="K29" s="9" t="str">
        <v>22</v>
      </c>
      <c r="L29" t="str">
        <v>US</v>
      </c>
      <c r="M29" t="str">
        <v>MAY</v>
      </c>
    </row>
    <row r="30" spans="1:13" ht="13.2" x14ac:dyDescent="0.25">
      <c r="A30" s="2" t="s">
        <v>96</v>
      </c>
      <c r="B30" s="2" t="s">
        <v>97</v>
      </c>
      <c r="C30" s="2" t="s">
        <v>98</v>
      </c>
      <c r="D30" s="6">
        <v>60</v>
      </c>
      <c r="E30" s="6">
        <v>30</v>
      </c>
      <c r="F30" s="2" t="s">
        <v>30</v>
      </c>
      <c r="G30">
        <f>(D30*E30)</f>
        <v>1800</v>
      </c>
      <c r="H30" t="str">
        <f t="shared" si="0"/>
        <v>standard price</v>
      </c>
      <c r="K30" s="9" t="str">
        <v>07</v>
      </c>
      <c r="L30" t="str">
        <v>CA</v>
      </c>
      <c r="M30" t="str">
        <v>MAR</v>
      </c>
    </row>
    <row r="31" spans="1:13" ht="13.2" x14ac:dyDescent="0.25">
      <c r="A31" s="7" t="s">
        <v>67</v>
      </c>
      <c r="B31" s="7" t="s">
        <v>68</v>
      </c>
      <c r="C31" s="7" t="s">
        <v>69</v>
      </c>
      <c r="D31" s="8">
        <v>50</v>
      </c>
      <c r="E31" s="8">
        <v>35</v>
      </c>
      <c r="F31" s="7" t="s">
        <v>70</v>
      </c>
      <c r="G31">
        <f>(D31*E31)</f>
        <v>1750</v>
      </c>
      <c r="H31" t="str">
        <f t="shared" si="0"/>
        <v>standard price</v>
      </c>
      <c r="K31" s="9" t="str">
        <v>21</v>
      </c>
      <c r="L31" t="str">
        <v>CA</v>
      </c>
      <c r="M31" t="str">
        <v>AUG</v>
      </c>
    </row>
    <row r="32" spans="1:13" ht="13.2" x14ac:dyDescent="0.25">
      <c r="A32" s="7" t="s">
        <v>67</v>
      </c>
      <c r="B32" s="7" t="s">
        <v>68</v>
      </c>
      <c r="C32" s="7" t="s">
        <v>69</v>
      </c>
      <c r="D32" s="8">
        <v>50</v>
      </c>
      <c r="E32" s="8">
        <v>35</v>
      </c>
      <c r="F32" s="7" t="s">
        <v>70</v>
      </c>
      <c r="G32">
        <f>(D32*E32)</f>
        <v>1750</v>
      </c>
      <c r="H32" t="str">
        <f t="shared" si="0"/>
        <v>standard price</v>
      </c>
      <c r="K32" s="9" t="str">
        <v>21</v>
      </c>
      <c r="L32" t="str">
        <v>CA</v>
      </c>
      <c r="M32" t="str">
        <v>AUG</v>
      </c>
    </row>
    <row r="33" spans="1:13" ht="13.2" x14ac:dyDescent="0.25">
      <c r="A33" s="7" t="s">
        <v>104</v>
      </c>
      <c r="B33" s="7" t="s">
        <v>105</v>
      </c>
      <c r="C33" s="7" t="s">
        <v>106</v>
      </c>
      <c r="D33" s="8">
        <v>50</v>
      </c>
      <c r="E33" s="8">
        <v>50</v>
      </c>
      <c r="F33" s="7" t="s">
        <v>30</v>
      </c>
      <c r="G33">
        <f>(D33*E33)</f>
        <v>2500</v>
      </c>
      <c r="H33" t="str">
        <f t="shared" si="0"/>
        <v>standard price</v>
      </c>
      <c r="K33" s="9" t="str">
        <v>02</v>
      </c>
      <c r="L33" t="str">
        <v>CA</v>
      </c>
      <c r="M33" t="str">
        <v>DEC</v>
      </c>
    </row>
    <row r="34" spans="1:13" ht="13.2" x14ac:dyDescent="0.25">
      <c r="A34" s="7" t="s">
        <v>99</v>
      </c>
      <c r="B34" s="7" t="s">
        <v>100</v>
      </c>
      <c r="C34" s="7" t="s">
        <v>101</v>
      </c>
      <c r="D34" s="8">
        <v>40</v>
      </c>
      <c r="E34" s="8">
        <v>10</v>
      </c>
      <c r="F34" s="7" t="s">
        <v>34</v>
      </c>
      <c r="G34">
        <f>(D34*E34)</f>
        <v>400</v>
      </c>
      <c r="H34" t="str">
        <f t="shared" si="0"/>
        <v>standard price</v>
      </c>
      <c r="K34" s="9" t="str">
        <v>13</v>
      </c>
      <c r="L34" t="str">
        <v>CA</v>
      </c>
      <c r="M34" t="str">
        <v>APR</v>
      </c>
    </row>
    <row r="35" spans="1:13" ht="13.2" x14ac:dyDescent="0.25">
      <c r="A35" s="2" t="s">
        <v>45</v>
      </c>
      <c r="B35" s="2" t="s">
        <v>46</v>
      </c>
      <c r="C35" s="2" t="s">
        <v>47</v>
      </c>
      <c r="D35" s="6">
        <v>30</v>
      </c>
      <c r="E35" s="6">
        <v>5</v>
      </c>
      <c r="F35" s="2" t="s">
        <v>30</v>
      </c>
      <c r="G35">
        <f>(D35*E35)</f>
        <v>150</v>
      </c>
      <c r="H35" t="str">
        <f t="shared" si="0"/>
        <v>standard price</v>
      </c>
      <c r="K35" s="9" t="str">
        <v>19</v>
      </c>
      <c r="L35" t="str">
        <v>UK</v>
      </c>
      <c r="M35" t="str">
        <v>JUL</v>
      </c>
    </row>
  </sheetData>
  <autoFilter ref="A1:J35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Manikanta Perumalla</cp:lastModifiedBy>
  <dcterms:created xsi:type="dcterms:W3CDTF">2026-06-23T14:06:19Z</dcterms:created>
  <dcterms:modified xsi:type="dcterms:W3CDTF">2026-06-23T14:10:53Z</dcterms:modified>
</cp:coreProperties>
</file>