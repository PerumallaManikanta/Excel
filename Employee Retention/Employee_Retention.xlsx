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 GOWTHAM\Downloads\"/>
    </mc:Choice>
  </mc:AlternateContent>
  <xr:revisionPtr revIDLastSave="0" documentId="8_{524F4C2A-BF35-4D04-AD0F-82DA6761FCFE}" xr6:coauthVersionLast="47" xr6:coauthVersionMax="47" xr10:uidLastSave="{00000000-0000-0000-0000-000000000000}"/>
  <bookViews>
    <workbookView xWindow="-108" yWindow="-108" windowWidth="23256" windowHeight="13896" xr2:uid="{DEF35721-BD77-4EDD-87B9-B32EE36CDE24}"/>
  </bookViews>
  <sheets>
    <sheet name="Employee" sheetId="1" r:id="rId1"/>
    <sheet name="Business Questions" sheetId="2" r:id="rId2"/>
    <sheet name="Interview Ques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R1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3" i="1"/>
  <c r="R15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3" i="1"/>
  <c r="R6" i="1"/>
  <c r="R3" i="1"/>
  <c r="R9" i="1" s="1"/>
  <c r="O29" i="1"/>
  <c r="O26" i="1"/>
  <c r="O23" i="1"/>
  <c r="O21" i="1"/>
  <c r="O18" i="1"/>
  <c r="O15" i="1"/>
  <c r="O12" i="1"/>
  <c r="O9" i="1"/>
  <c r="O6" i="1"/>
  <c r="O3" i="1"/>
</calcChain>
</file>

<file path=xl/sharedStrings.xml><?xml version="1.0" encoding="utf-8"?>
<sst xmlns="http://schemas.openxmlformats.org/spreadsheetml/2006/main" count="149" uniqueCount="95">
  <si>
    <t>EmpID</t>
  </si>
  <si>
    <t>Name</t>
  </si>
  <si>
    <t>Department</t>
  </si>
  <si>
    <t>Gender</t>
  </si>
  <si>
    <t>Experience</t>
  </si>
  <si>
    <t>Salary</t>
  </si>
  <si>
    <t>Attrition</t>
  </si>
  <si>
    <t>Ravi</t>
  </si>
  <si>
    <t>IT</t>
  </si>
  <si>
    <t>M</t>
  </si>
  <si>
    <t>Yes</t>
  </si>
  <si>
    <t>Sita</t>
  </si>
  <si>
    <t>HR</t>
  </si>
  <si>
    <t>F</t>
  </si>
  <si>
    <t>No</t>
  </si>
  <si>
    <t>John</t>
  </si>
  <si>
    <t>Sales</t>
  </si>
  <si>
    <t>Anita</t>
  </si>
  <si>
    <t>Rajesh</t>
  </si>
  <si>
    <t>Sunil</t>
  </si>
  <si>
    <t>Priya</t>
  </si>
  <si>
    <t>Kiran</t>
  </si>
  <si>
    <t>Deepa</t>
  </si>
  <si>
    <t>Mohan</t>
  </si>
  <si>
    <t>Harish</t>
  </si>
  <si>
    <t>Swathi</t>
  </si>
  <si>
    <t>Arun</t>
  </si>
  <si>
    <t>Latha</t>
  </si>
  <si>
    <t>Venkat</t>
  </si>
  <si>
    <t>Geetha</t>
  </si>
  <si>
    <t>Ramesh</t>
  </si>
  <si>
    <t>Divya</t>
  </si>
  <si>
    <t>Naveen</t>
  </si>
  <si>
    <t>Suresh</t>
  </si>
  <si>
    <t>Business Questions</t>
  </si>
  <si>
    <t>What is the total salary paid to all employees?</t>
  </si>
  <si>
    <t>What is the average salary of employees?</t>
  </si>
  <si>
    <t>What is the highest salary?</t>
  </si>
  <si>
    <t>What is the lowest salary?</t>
  </si>
  <si>
    <t>How many employees are there?</t>
  </si>
  <si>
    <t>How many employees are working in IT?</t>
  </si>
  <si>
    <t>How many employees are working in Sales?</t>
  </si>
  <si>
    <t>What is the total salary of IT employees?</t>
  </si>
  <si>
    <t>What is the total salary of HR employees?</t>
  </si>
  <si>
    <t>What is the average salary of Sales employees?</t>
  </si>
  <si>
    <t>How many employees left the company?</t>
  </si>
  <si>
    <t>How many employees stayed in the company?</t>
  </si>
  <si>
    <t>Calculate attrition status:</t>
  </si>
  <si>
    <t>Employees with experience &gt; 5 years should be marked as Senior.</t>
  </si>
  <si>
    <t>How many employees have more than 5 years experience?</t>
  </si>
  <si>
    <t>Employees earning above ₹50,000 should be marked High Salary.</t>
  </si>
  <si>
    <t>How many employees earn more than ₹50,000?</t>
  </si>
  <si>
    <t>Calculate 10% retention bonus for employees earning more than ₹60,000.</t>
  </si>
  <si>
    <t>Convert employee names into proper case.</t>
  </si>
  <si>
    <t>Extract first 2 letters from employee names.</t>
  </si>
  <si>
    <t>Interview Questions</t>
  </si>
  <si>
    <t>What formula will you use to find the total salary paid to employees?</t>
  </si>
  <si>
    <t>What formula will you use to calculate average employee salary?</t>
  </si>
  <si>
    <t>How will you identify the employee with the highest salary?</t>
  </si>
  <si>
    <t>How will you find the number of employees in the company?</t>
  </si>
  <si>
    <t>How will you count employees in the IT department?</t>
  </si>
  <si>
    <t>HR wants total salary paid to Sales department. Which formula will you use?</t>
  </si>
  <si>
    <t>How will you calculate average salary of HR department?</t>
  </si>
  <si>
    <t>How will you classify employees as High Salary and Low Salary?</t>
  </si>
  <si>
    <t>How will you identify employees with experience greater than 5 years?</t>
  </si>
  <si>
    <t>How will you calculate bonus only for employees earning above ₹50,000?</t>
  </si>
  <si>
    <t>Employee Attrition Data</t>
  </si>
  <si>
    <t>Total salary of all employee</t>
  </si>
  <si>
    <t>Average salary of employee</t>
  </si>
  <si>
    <t>Highest salary of employee</t>
  </si>
  <si>
    <t>Lowest salary of employee</t>
  </si>
  <si>
    <t>Employee strenght</t>
  </si>
  <si>
    <t>IT Employees</t>
  </si>
  <si>
    <t>Sales employees</t>
  </si>
  <si>
    <t>Average salary of sales emp</t>
  </si>
  <si>
    <t>Total salary of IT</t>
  </si>
  <si>
    <t xml:space="preserve">Total salary of Hr </t>
  </si>
  <si>
    <t>Left the company</t>
  </si>
  <si>
    <t>Stayed in company</t>
  </si>
  <si>
    <t>attrition status</t>
  </si>
  <si>
    <t>Senior/Junior</t>
  </si>
  <si>
    <t>&gt;5 years EXP</t>
  </si>
  <si>
    <t>High salary/low salary</t>
  </si>
  <si>
    <t>&gt;50000 EMP</t>
  </si>
  <si>
    <t>10% Retension bonus</t>
  </si>
  <si>
    <t>Proper Case</t>
  </si>
  <si>
    <t>Extract 2 Letters</t>
  </si>
  <si>
    <t>sum()</t>
  </si>
  <si>
    <t>average()</t>
  </si>
  <si>
    <t>Max()</t>
  </si>
  <si>
    <t>count()</t>
  </si>
  <si>
    <t>countif()</t>
  </si>
  <si>
    <t>sumif()</t>
  </si>
  <si>
    <t>averageif()</t>
  </si>
  <si>
    <t>if()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</si>
</sst>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/>
    </xf>
    <xf numFmtId="0" fontId="0" fillId="4" borderId="0" xfId="0" applyFill="1"/>
    <xf numFmtId="0" fontId="1" fillId="3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</cellXfs>
  <cellStyles count="1">
    <cellStyle name="Normal" xfId="0" builtinId="0"/>
  </cellStyles>
  <dxfs count="3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left style="thin">
          <color indexed="64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4D22DF-C8C8-45EF-BCD7-F6301F20D1A1}" name="Table1" displayName="Table1" ref="H2:L22" totalsRowShown="0" headerRowDxfId="1" tableBorderDxfId="2">
  <autoFilter ref="H2:L22" xr:uid="{274D22DF-C8C8-45EF-BCD7-F6301F20D1A1}"/>
  <tableColumns count="5">
    <tableColumn id="1" xr3:uid="{AE4FD5E1-A9E8-4BA2-BC99-D08E02945CC4}" name="Senior/Junior">
      <calculatedColumnFormula>IF(E3&gt;5,"senior","junior")</calculatedColumnFormula>
    </tableColumn>
    <tableColumn id="2" xr3:uid="{CE363829-213C-4968-8194-7B91F3D26158}" name="High salary/low salary">
      <calculatedColumnFormula>IF(Employee!F3&gt;50000,"High salary","low salary")</calculatedColumnFormula>
    </tableColumn>
    <tableColumn id="3" xr3:uid="{F798EDCF-CC33-4F89-9822-957DAF2D4E0C}" name="10% Retension bonus">
      <calculatedColumnFormula>IF(F3&gt;60000,F3*10%,0)</calculatedColumnFormula>
    </tableColumn>
    <tableColumn id="4" xr3:uid="{B0A2DC5B-1918-4123-AE1E-0F5E4F4A9FA6}" name="Proper Case">
      <calculatedColumnFormula>PROPER(B3)</calculatedColumnFormula>
    </tableColumn>
    <tableColumn id="5" xr3:uid="{ADE08F06-12F1-4B4A-A344-89816AE8F8B6}" name="Extract 2 Letters" dataDxfId="0">
      <calculatedColumnFormula>LEFT(B3,"2")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D0EC1-2676-4440-BBFD-C487325D8F20}">
  <dimension ref="A1:R29"/>
  <sheetViews>
    <sheetView tabSelected="1" workbookViewId="0">
      <selection activeCell="M1" sqref="M1"/>
    </sheetView>
  </sheetViews>
  <sheetFormatPr defaultRowHeight="14.4" x14ac:dyDescent="0.3"/>
  <cols>
    <col min="3" max="3" width="16" customWidth="1"/>
    <col min="5" max="5" width="11.21875" customWidth="1"/>
    <col min="8" max="8" width="14.21875" customWidth="1"/>
    <col min="9" max="9" width="21.21875" customWidth="1"/>
    <col min="10" max="10" width="20.77734375" customWidth="1"/>
    <col min="11" max="11" width="12.88671875" customWidth="1"/>
    <col min="12" max="12" width="16.21875" customWidth="1"/>
    <col min="15" max="15" width="24.21875" customWidth="1"/>
    <col min="16" max="16" width="10.5546875" customWidth="1"/>
    <col min="18" max="18" width="16.33203125" customWidth="1"/>
  </cols>
  <sheetData>
    <row r="1" spans="1:18" ht="21" x14ac:dyDescent="0.4">
      <c r="A1" s="7" t="s">
        <v>66</v>
      </c>
      <c r="B1" s="7"/>
      <c r="C1" s="7"/>
      <c r="D1" s="7"/>
      <c r="E1" s="7"/>
      <c r="F1" s="7"/>
      <c r="G1" s="7"/>
      <c r="H1" s="8"/>
      <c r="I1" s="8"/>
      <c r="J1" s="8"/>
      <c r="K1" s="8"/>
      <c r="L1" s="8"/>
    </row>
    <row r="2" spans="1:18" ht="28.8" x14ac:dyDescent="0.3">
      <c r="A2" s="4" t="s">
        <v>0</v>
      </c>
      <c r="B2" s="4" t="s">
        <v>1</v>
      </c>
      <c r="C2" s="4" t="s">
        <v>2</v>
      </c>
      <c r="D2" s="4" t="s">
        <v>3</v>
      </c>
      <c r="E2" s="5" t="s">
        <v>4</v>
      </c>
      <c r="F2" s="5" t="s">
        <v>5</v>
      </c>
      <c r="G2" s="9" t="s">
        <v>6</v>
      </c>
      <c r="H2" s="6" t="s">
        <v>80</v>
      </c>
      <c r="I2" s="6" t="s">
        <v>82</v>
      </c>
      <c r="J2" s="6" t="s">
        <v>84</v>
      </c>
      <c r="K2" s="6" t="s">
        <v>85</v>
      </c>
      <c r="L2" s="6" t="s">
        <v>86</v>
      </c>
      <c r="N2">
        <v>1</v>
      </c>
      <c r="O2" t="s">
        <v>67</v>
      </c>
      <c r="Q2">
        <v>11</v>
      </c>
      <c r="R2" t="s">
        <v>77</v>
      </c>
    </row>
    <row r="3" spans="1:18" x14ac:dyDescent="0.3">
      <c r="A3" s="2">
        <v>101</v>
      </c>
      <c r="B3" s="2" t="s">
        <v>7</v>
      </c>
      <c r="C3" s="2" t="s">
        <v>8</v>
      </c>
      <c r="D3" s="2" t="s">
        <v>9</v>
      </c>
      <c r="E3" s="3">
        <v>2</v>
      </c>
      <c r="F3" s="3">
        <v>35000</v>
      </c>
      <c r="G3" s="10" t="s">
        <v>10</v>
      </c>
      <c r="H3" t="str">
        <f>IF(E3&gt;5,"senior","junior")</f>
        <v>junior</v>
      </c>
      <c r="I3" t="str">
        <f>IF(Employee!F3&gt;50000,"High salary","low salary")</f>
        <v>low salary</v>
      </c>
      <c r="J3">
        <f>IF(F3&gt;60000,F3*10%,0)</f>
        <v>0</v>
      </c>
      <c r="K3" t="str">
        <f>PROPER(B3)</f>
        <v>Ravi</v>
      </c>
      <c r="L3" t="str">
        <f t="shared" ref="L3:L22" si="0">LEFT(B3,"2")</f>
        <v>Ra</v>
      </c>
      <c r="O3">
        <f>SUM(F3:F22)</f>
        <v>1008000</v>
      </c>
      <c r="R3">
        <f>COUNTIF(G3:G22,"yes")</f>
        <v>6</v>
      </c>
    </row>
    <row r="4" spans="1:18" x14ac:dyDescent="0.3">
      <c r="A4" s="2">
        <v>102</v>
      </c>
      <c r="B4" s="2" t="s">
        <v>11</v>
      </c>
      <c r="C4" s="2" t="s">
        <v>12</v>
      </c>
      <c r="D4" s="2" t="s">
        <v>13</v>
      </c>
      <c r="E4" s="3">
        <v>5</v>
      </c>
      <c r="F4" s="3">
        <v>45000</v>
      </c>
      <c r="G4" s="10" t="s">
        <v>14</v>
      </c>
      <c r="H4" t="str">
        <f t="shared" ref="H4:H22" si="1">IF(E4&gt;5,"senior","junior")</f>
        <v>junior</v>
      </c>
      <c r="I4" t="str">
        <f>IF(Employee!F4&gt;50000,"High salary","low salary")</f>
        <v>low salary</v>
      </c>
      <c r="J4">
        <f t="shared" ref="J4:J22" si="2">IF(F4&gt;60000,F4*10%,0)</f>
        <v>0</v>
      </c>
      <c r="K4" t="str">
        <f t="shared" ref="K4:K22" si="3">PROPER(B4)</f>
        <v>Sita</v>
      </c>
      <c r="L4" t="str">
        <f t="shared" si="0"/>
        <v>Si</v>
      </c>
    </row>
    <row r="5" spans="1:18" x14ac:dyDescent="0.3">
      <c r="A5" s="2">
        <v>103</v>
      </c>
      <c r="B5" s="2" t="s">
        <v>15</v>
      </c>
      <c r="C5" s="2" t="s">
        <v>16</v>
      </c>
      <c r="D5" s="2" t="s">
        <v>9</v>
      </c>
      <c r="E5" s="3">
        <v>1</v>
      </c>
      <c r="F5" s="3">
        <v>30000</v>
      </c>
      <c r="G5" s="10" t="s">
        <v>10</v>
      </c>
      <c r="H5" t="str">
        <f t="shared" si="1"/>
        <v>junior</v>
      </c>
      <c r="I5" t="str">
        <f>IF(Employee!F5&gt;50000,"High salary","low salary")</f>
        <v>low salary</v>
      </c>
      <c r="J5">
        <f t="shared" si="2"/>
        <v>0</v>
      </c>
      <c r="K5" t="str">
        <f t="shared" si="3"/>
        <v>John</v>
      </c>
      <c r="L5" t="str">
        <f t="shared" si="0"/>
        <v>Jo</v>
      </c>
      <c r="N5">
        <v>2</v>
      </c>
      <c r="O5" t="s">
        <v>68</v>
      </c>
      <c r="Q5">
        <v>12</v>
      </c>
      <c r="R5" t="s">
        <v>78</v>
      </c>
    </row>
    <row r="6" spans="1:18" x14ac:dyDescent="0.3">
      <c r="A6" s="2">
        <v>104</v>
      </c>
      <c r="B6" s="2" t="s">
        <v>17</v>
      </c>
      <c r="C6" s="2" t="s">
        <v>8</v>
      </c>
      <c r="D6" s="2" t="s">
        <v>13</v>
      </c>
      <c r="E6" s="3">
        <v>7</v>
      </c>
      <c r="F6" s="3">
        <v>65000</v>
      </c>
      <c r="G6" s="10" t="s">
        <v>14</v>
      </c>
      <c r="H6" t="str">
        <f t="shared" si="1"/>
        <v>senior</v>
      </c>
      <c r="I6" t="str">
        <f>IF(Employee!F6&gt;50000,"High salary","low salary")</f>
        <v>High salary</v>
      </c>
      <c r="J6">
        <f t="shared" si="2"/>
        <v>6500</v>
      </c>
      <c r="K6" t="str">
        <f t="shared" si="3"/>
        <v>Anita</v>
      </c>
      <c r="L6" t="str">
        <f t="shared" si="0"/>
        <v>An</v>
      </c>
      <c r="O6">
        <f>AVERAGE(F3:F22)</f>
        <v>50400</v>
      </c>
      <c r="R6">
        <f>COUNTIF(G3:G22,"no")</f>
        <v>14</v>
      </c>
    </row>
    <row r="7" spans="1:18" x14ac:dyDescent="0.3">
      <c r="A7" s="2">
        <v>105</v>
      </c>
      <c r="B7" s="2" t="s">
        <v>18</v>
      </c>
      <c r="C7" s="2" t="s">
        <v>16</v>
      </c>
      <c r="D7" s="2" t="s">
        <v>9</v>
      </c>
      <c r="E7" s="3">
        <v>3</v>
      </c>
      <c r="F7" s="3">
        <v>40000</v>
      </c>
      <c r="G7" s="10" t="s">
        <v>14</v>
      </c>
      <c r="H7" t="str">
        <f t="shared" si="1"/>
        <v>junior</v>
      </c>
      <c r="I7" t="str">
        <f>IF(Employee!F7&gt;50000,"High salary","low salary")</f>
        <v>low salary</v>
      </c>
      <c r="J7">
        <f t="shared" si="2"/>
        <v>0</v>
      </c>
      <c r="K7" t="str">
        <f t="shared" si="3"/>
        <v>Rajesh</v>
      </c>
      <c r="L7" t="str">
        <f t="shared" si="0"/>
        <v>Ra</v>
      </c>
    </row>
    <row r="8" spans="1:18" x14ac:dyDescent="0.3">
      <c r="A8" s="2">
        <v>106</v>
      </c>
      <c r="B8" s="2" t="s">
        <v>19</v>
      </c>
      <c r="C8" s="2" t="s">
        <v>8</v>
      </c>
      <c r="D8" s="2" t="s">
        <v>9</v>
      </c>
      <c r="E8" s="3">
        <v>8</v>
      </c>
      <c r="F8" s="3">
        <v>70000</v>
      </c>
      <c r="G8" s="10" t="s">
        <v>14</v>
      </c>
      <c r="H8" t="str">
        <f t="shared" si="1"/>
        <v>senior</v>
      </c>
      <c r="I8" t="str">
        <f>IF(Employee!F8&gt;50000,"High salary","low salary")</f>
        <v>High salary</v>
      </c>
      <c r="J8">
        <f t="shared" si="2"/>
        <v>7000</v>
      </c>
      <c r="K8" t="str">
        <f t="shared" si="3"/>
        <v>Sunil</v>
      </c>
      <c r="L8" t="str">
        <f t="shared" si="0"/>
        <v>Su</v>
      </c>
      <c r="N8">
        <v>3</v>
      </c>
      <c r="O8" t="s">
        <v>69</v>
      </c>
      <c r="Q8">
        <v>13</v>
      </c>
      <c r="R8" t="s">
        <v>79</v>
      </c>
    </row>
    <row r="9" spans="1:18" x14ac:dyDescent="0.3">
      <c r="A9" s="2">
        <v>107</v>
      </c>
      <c r="B9" s="2" t="s">
        <v>20</v>
      </c>
      <c r="C9" s="2" t="s">
        <v>12</v>
      </c>
      <c r="D9" s="2" t="s">
        <v>13</v>
      </c>
      <c r="E9" s="3">
        <v>2</v>
      </c>
      <c r="F9" s="3">
        <v>38000</v>
      </c>
      <c r="G9" s="10" t="s">
        <v>10</v>
      </c>
      <c r="H9" t="str">
        <f t="shared" si="1"/>
        <v>junior</v>
      </c>
      <c r="I9" t="str">
        <f>IF(Employee!F9&gt;50000,"High salary","low salary")</f>
        <v>low salary</v>
      </c>
      <c r="J9">
        <f t="shared" si="2"/>
        <v>0</v>
      </c>
      <c r="K9" t="str">
        <f t="shared" si="3"/>
        <v>Priya</v>
      </c>
      <c r="L9" t="str">
        <f t="shared" si="0"/>
        <v>Pr</v>
      </c>
      <c r="O9">
        <f>MAX(F3:F22)</f>
        <v>80000</v>
      </c>
      <c r="R9">
        <f>R3/O15</f>
        <v>0.3</v>
      </c>
    </row>
    <row r="10" spans="1:18" x14ac:dyDescent="0.3">
      <c r="A10" s="2">
        <v>108</v>
      </c>
      <c r="B10" s="2" t="s">
        <v>21</v>
      </c>
      <c r="C10" s="2" t="s">
        <v>16</v>
      </c>
      <c r="D10" s="2" t="s">
        <v>9</v>
      </c>
      <c r="E10" s="3">
        <v>4</v>
      </c>
      <c r="F10" s="3">
        <v>42000</v>
      </c>
      <c r="G10" s="10" t="s">
        <v>14</v>
      </c>
      <c r="H10" t="str">
        <f t="shared" si="1"/>
        <v>junior</v>
      </c>
      <c r="I10" t="str">
        <f>IF(Employee!F10&gt;50000,"High salary","low salary")</f>
        <v>low salary</v>
      </c>
      <c r="J10">
        <f t="shared" si="2"/>
        <v>0</v>
      </c>
      <c r="K10" t="str">
        <f t="shared" si="3"/>
        <v>Kiran</v>
      </c>
      <c r="L10" t="str">
        <f t="shared" si="0"/>
        <v>Ki</v>
      </c>
    </row>
    <row r="11" spans="1:18" x14ac:dyDescent="0.3">
      <c r="A11" s="2">
        <v>109</v>
      </c>
      <c r="B11" s="2" t="s">
        <v>22</v>
      </c>
      <c r="C11" s="2" t="s">
        <v>8</v>
      </c>
      <c r="D11" s="2" t="s">
        <v>13</v>
      </c>
      <c r="E11" s="3">
        <v>6</v>
      </c>
      <c r="F11" s="3">
        <v>62000</v>
      </c>
      <c r="G11" s="10" t="s">
        <v>14</v>
      </c>
      <c r="H11" t="str">
        <f t="shared" si="1"/>
        <v>senior</v>
      </c>
      <c r="I11" t="str">
        <f>IF(Employee!F11&gt;50000,"High salary","low salary")</f>
        <v>High salary</v>
      </c>
      <c r="J11">
        <f t="shared" si="2"/>
        <v>6200</v>
      </c>
      <c r="K11" t="str">
        <f t="shared" si="3"/>
        <v>Deepa</v>
      </c>
      <c r="L11" t="str">
        <f t="shared" si="0"/>
        <v>De</v>
      </c>
      <c r="N11">
        <v>4</v>
      </c>
      <c r="O11" t="s">
        <v>70</v>
      </c>
      <c r="Q11">
        <v>14</v>
      </c>
      <c r="R11" t="s">
        <v>81</v>
      </c>
    </row>
    <row r="12" spans="1:18" x14ac:dyDescent="0.3">
      <c r="A12" s="2">
        <v>110</v>
      </c>
      <c r="B12" s="2" t="s">
        <v>23</v>
      </c>
      <c r="C12" s="2" t="s">
        <v>16</v>
      </c>
      <c r="D12" s="2" t="s">
        <v>9</v>
      </c>
      <c r="E12" s="3">
        <v>2</v>
      </c>
      <c r="F12" s="3">
        <v>35000</v>
      </c>
      <c r="G12" s="10" t="s">
        <v>10</v>
      </c>
      <c r="H12" t="str">
        <f t="shared" si="1"/>
        <v>junior</v>
      </c>
      <c r="I12" t="str">
        <f>IF(Employee!F12&gt;50000,"High salary","low salary")</f>
        <v>low salary</v>
      </c>
      <c r="J12">
        <f t="shared" si="2"/>
        <v>0</v>
      </c>
      <c r="K12" t="str">
        <f t="shared" si="3"/>
        <v>Mohan</v>
      </c>
      <c r="L12" t="str">
        <f t="shared" si="0"/>
        <v>Mo</v>
      </c>
      <c r="O12">
        <f>MIN(F3:F22)</f>
        <v>30000</v>
      </c>
      <c r="R12">
        <f>COUNTIF(E3:E22,"&gt;5")</f>
        <v>8</v>
      </c>
    </row>
    <row r="13" spans="1:18" x14ac:dyDescent="0.3">
      <c r="A13" s="2">
        <v>111</v>
      </c>
      <c r="B13" s="2" t="s">
        <v>24</v>
      </c>
      <c r="C13" s="2" t="s">
        <v>12</v>
      </c>
      <c r="D13" s="2" t="s">
        <v>9</v>
      </c>
      <c r="E13" s="3">
        <v>5</v>
      </c>
      <c r="F13" s="3">
        <v>47000</v>
      </c>
      <c r="G13" s="10" t="s">
        <v>14</v>
      </c>
      <c r="H13" t="str">
        <f t="shared" si="1"/>
        <v>junior</v>
      </c>
      <c r="I13" t="str">
        <f>IF(Employee!F13&gt;50000,"High salary","low salary")</f>
        <v>low salary</v>
      </c>
      <c r="J13">
        <f t="shared" si="2"/>
        <v>0</v>
      </c>
      <c r="K13" t="str">
        <f t="shared" si="3"/>
        <v>Harish</v>
      </c>
      <c r="L13" t="str">
        <f t="shared" si="0"/>
        <v>Ha</v>
      </c>
    </row>
    <row r="14" spans="1:18" x14ac:dyDescent="0.3">
      <c r="A14" s="2">
        <v>112</v>
      </c>
      <c r="B14" s="2" t="s">
        <v>25</v>
      </c>
      <c r="C14" s="2" t="s">
        <v>8</v>
      </c>
      <c r="D14" s="2" t="s">
        <v>13</v>
      </c>
      <c r="E14" s="3">
        <v>9</v>
      </c>
      <c r="F14" s="3">
        <v>75000</v>
      </c>
      <c r="G14" s="10" t="s">
        <v>14</v>
      </c>
      <c r="H14" t="str">
        <f t="shared" si="1"/>
        <v>senior</v>
      </c>
      <c r="I14" t="str">
        <f>IF(Employee!F14&gt;50000,"High salary","low salary")</f>
        <v>High salary</v>
      </c>
      <c r="J14">
        <f t="shared" si="2"/>
        <v>7500</v>
      </c>
      <c r="K14" t="str">
        <f t="shared" si="3"/>
        <v>Swathi</v>
      </c>
      <c r="L14" t="str">
        <f t="shared" si="0"/>
        <v>Sw</v>
      </c>
      <c r="N14">
        <v>5</v>
      </c>
      <c r="O14" t="s">
        <v>71</v>
      </c>
      <c r="Q14">
        <v>15</v>
      </c>
      <c r="R14" t="s">
        <v>83</v>
      </c>
    </row>
    <row r="15" spans="1:18" x14ac:dyDescent="0.3">
      <c r="A15" s="2">
        <v>113</v>
      </c>
      <c r="B15" s="2" t="s">
        <v>26</v>
      </c>
      <c r="C15" s="2" t="s">
        <v>16</v>
      </c>
      <c r="D15" s="2" t="s">
        <v>9</v>
      </c>
      <c r="E15" s="3">
        <v>3</v>
      </c>
      <c r="F15" s="3">
        <v>39000</v>
      </c>
      <c r="G15" s="10" t="s">
        <v>10</v>
      </c>
      <c r="H15" t="str">
        <f t="shared" si="1"/>
        <v>junior</v>
      </c>
      <c r="I15" t="str">
        <f>IF(Employee!F15&gt;50000,"High salary","low salary")</f>
        <v>low salary</v>
      </c>
      <c r="J15">
        <f t="shared" si="2"/>
        <v>0</v>
      </c>
      <c r="K15" t="str">
        <f t="shared" si="3"/>
        <v>Arun</v>
      </c>
      <c r="L15" t="str">
        <f t="shared" si="0"/>
        <v>Ar</v>
      </c>
      <c r="O15">
        <f>COUNT(F3:F22)</f>
        <v>20</v>
      </c>
      <c r="R15">
        <f>COUNTIF(F3:F22,"&gt;50000")</f>
        <v>7</v>
      </c>
    </row>
    <row r="16" spans="1:18" x14ac:dyDescent="0.3">
      <c r="A16" s="2">
        <v>114</v>
      </c>
      <c r="B16" s="2" t="s">
        <v>27</v>
      </c>
      <c r="C16" s="2" t="s">
        <v>12</v>
      </c>
      <c r="D16" s="2" t="s">
        <v>13</v>
      </c>
      <c r="E16" s="3">
        <v>4</v>
      </c>
      <c r="F16" s="3">
        <v>44000</v>
      </c>
      <c r="G16" s="10" t="s">
        <v>14</v>
      </c>
      <c r="H16" t="str">
        <f t="shared" si="1"/>
        <v>junior</v>
      </c>
      <c r="I16" t="str">
        <f>IF(Employee!F16&gt;50000,"High salary","low salary")</f>
        <v>low salary</v>
      </c>
      <c r="J16">
        <f t="shared" si="2"/>
        <v>0</v>
      </c>
      <c r="K16" t="str">
        <f t="shared" si="3"/>
        <v>Latha</v>
      </c>
      <c r="L16" t="str">
        <f t="shared" si="0"/>
        <v>La</v>
      </c>
    </row>
    <row r="17" spans="1:15" x14ac:dyDescent="0.3">
      <c r="A17" s="2">
        <v>115</v>
      </c>
      <c r="B17" s="2" t="s">
        <v>28</v>
      </c>
      <c r="C17" s="2" t="s">
        <v>16</v>
      </c>
      <c r="D17" s="2" t="s">
        <v>9</v>
      </c>
      <c r="E17" s="3">
        <v>7</v>
      </c>
      <c r="F17" s="3">
        <v>55000</v>
      </c>
      <c r="G17" s="10" t="s">
        <v>14</v>
      </c>
      <c r="H17" t="str">
        <f t="shared" si="1"/>
        <v>senior</v>
      </c>
      <c r="I17" t="str">
        <f>IF(Employee!F17&gt;50000,"High salary","low salary")</f>
        <v>High salary</v>
      </c>
      <c r="J17">
        <f t="shared" si="2"/>
        <v>0</v>
      </c>
      <c r="K17" t="str">
        <f t="shared" si="3"/>
        <v>Venkat</v>
      </c>
      <c r="L17" t="str">
        <f t="shared" si="0"/>
        <v>Ve</v>
      </c>
      <c r="N17">
        <v>6</v>
      </c>
      <c r="O17" t="s">
        <v>72</v>
      </c>
    </row>
    <row r="18" spans="1:15" x14ac:dyDescent="0.3">
      <c r="A18" s="2">
        <v>116</v>
      </c>
      <c r="B18" s="2" t="s">
        <v>29</v>
      </c>
      <c r="C18" s="2" t="s">
        <v>8</v>
      </c>
      <c r="D18" s="2" t="s">
        <v>13</v>
      </c>
      <c r="E18" s="3">
        <v>8</v>
      </c>
      <c r="F18" s="3">
        <v>72000</v>
      </c>
      <c r="G18" s="10" t="s">
        <v>14</v>
      </c>
      <c r="H18" t="str">
        <f t="shared" si="1"/>
        <v>senior</v>
      </c>
      <c r="I18" t="str">
        <f>IF(Employee!F18&gt;50000,"High salary","low salary")</f>
        <v>High salary</v>
      </c>
      <c r="J18">
        <f t="shared" si="2"/>
        <v>7200</v>
      </c>
      <c r="K18" t="str">
        <f t="shared" si="3"/>
        <v>Geetha</v>
      </c>
      <c r="L18" t="str">
        <f t="shared" si="0"/>
        <v>Ge</v>
      </c>
      <c r="O18">
        <f>COUNTIF(Employee!C3:C22,"IT")</f>
        <v>7</v>
      </c>
    </row>
    <row r="19" spans="1:15" x14ac:dyDescent="0.3">
      <c r="A19" s="2">
        <v>117</v>
      </c>
      <c r="B19" s="2" t="s">
        <v>30</v>
      </c>
      <c r="C19" s="2" t="s">
        <v>16</v>
      </c>
      <c r="D19" s="2" t="s">
        <v>9</v>
      </c>
      <c r="E19" s="3">
        <v>2</v>
      </c>
      <c r="F19" s="3">
        <v>36000</v>
      </c>
      <c r="G19" s="10" t="s">
        <v>10</v>
      </c>
      <c r="H19" t="str">
        <f t="shared" si="1"/>
        <v>junior</v>
      </c>
      <c r="I19" t="str">
        <f>IF(Employee!F19&gt;50000,"High salary","low salary")</f>
        <v>low salary</v>
      </c>
      <c r="J19">
        <f t="shared" si="2"/>
        <v>0</v>
      </c>
      <c r="K19" t="str">
        <f t="shared" si="3"/>
        <v>Ramesh</v>
      </c>
      <c r="L19" t="str">
        <f t="shared" si="0"/>
        <v>Ra</v>
      </c>
    </row>
    <row r="20" spans="1:15" x14ac:dyDescent="0.3">
      <c r="A20" s="2">
        <v>118</v>
      </c>
      <c r="B20" s="2" t="s">
        <v>31</v>
      </c>
      <c r="C20" s="2" t="s">
        <v>12</v>
      </c>
      <c r="D20" s="2" t="s">
        <v>13</v>
      </c>
      <c r="E20" s="3">
        <v>6</v>
      </c>
      <c r="F20" s="3">
        <v>50000</v>
      </c>
      <c r="G20" s="10" t="s">
        <v>14</v>
      </c>
      <c r="H20" t="str">
        <f t="shared" si="1"/>
        <v>senior</v>
      </c>
      <c r="I20" t="str">
        <f>IF(Employee!F20&gt;50000,"High salary","low salary")</f>
        <v>low salary</v>
      </c>
      <c r="J20">
        <f t="shared" si="2"/>
        <v>0</v>
      </c>
      <c r="K20" t="str">
        <f t="shared" si="3"/>
        <v>Divya</v>
      </c>
      <c r="L20" t="str">
        <f t="shared" si="0"/>
        <v>Di</v>
      </c>
      <c r="N20">
        <v>7</v>
      </c>
      <c r="O20" t="s">
        <v>73</v>
      </c>
    </row>
    <row r="21" spans="1:15" x14ac:dyDescent="0.3">
      <c r="A21" s="2">
        <v>119</v>
      </c>
      <c r="B21" s="2" t="s">
        <v>32</v>
      </c>
      <c r="C21" s="2" t="s">
        <v>8</v>
      </c>
      <c r="D21" s="2" t="s">
        <v>9</v>
      </c>
      <c r="E21" s="3">
        <v>10</v>
      </c>
      <c r="F21" s="3">
        <v>80000</v>
      </c>
      <c r="G21" s="10" t="s">
        <v>14</v>
      </c>
      <c r="H21" t="str">
        <f t="shared" si="1"/>
        <v>senior</v>
      </c>
      <c r="I21" t="str">
        <f>IF(Employee!F21&gt;50000,"High salary","low salary")</f>
        <v>High salary</v>
      </c>
      <c r="J21">
        <f t="shared" si="2"/>
        <v>8000</v>
      </c>
      <c r="K21" t="str">
        <f t="shared" si="3"/>
        <v>Naveen</v>
      </c>
      <c r="L21" t="str">
        <f t="shared" si="0"/>
        <v>Na</v>
      </c>
      <c r="O21">
        <f>COUNTIF(C3:C22,"sales")</f>
        <v>8</v>
      </c>
    </row>
    <row r="22" spans="1:15" x14ac:dyDescent="0.3">
      <c r="A22" s="2">
        <v>120</v>
      </c>
      <c r="B22" s="2" t="s">
        <v>33</v>
      </c>
      <c r="C22" s="2" t="s">
        <v>16</v>
      </c>
      <c r="D22" s="2" t="s">
        <v>9</v>
      </c>
      <c r="E22" s="3">
        <v>5</v>
      </c>
      <c r="F22" s="3">
        <v>48000</v>
      </c>
      <c r="G22" s="10" t="s">
        <v>14</v>
      </c>
      <c r="H22" t="str">
        <f t="shared" si="1"/>
        <v>junior</v>
      </c>
      <c r="I22" t="str">
        <f>IF(Employee!F22&gt;50000,"High salary","low salary")</f>
        <v>low salary</v>
      </c>
      <c r="J22">
        <f t="shared" si="2"/>
        <v>0</v>
      </c>
      <c r="K22" t="str">
        <f t="shared" si="3"/>
        <v>Suresh</v>
      </c>
      <c r="L22" t="str">
        <f t="shared" si="0"/>
        <v>Su</v>
      </c>
      <c r="N22">
        <v>8</v>
      </c>
      <c r="O22" t="s">
        <v>75</v>
      </c>
    </row>
    <row r="23" spans="1:15" x14ac:dyDescent="0.3">
      <c r="O23">
        <f>SUMIF(C3:C22,"IT",F3:F22)</f>
        <v>459000</v>
      </c>
    </row>
    <row r="25" spans="1:15" x14ac:dyDescent="0.3">
      <c r="N25">
        <v>9</v>
      </c>
      <c r="O25" t="s">
        <v>76</v>
      </c>
    </row>
    <row r="26" spans="1:15" x14ac:dyDescent="0.3">
      <c r="O26">
        <f>SUMIF(C3:C22,"HR",F3:F22)</f>
        <v>224000</v>
      </c>
    </row>
    <row r="28" spans="1:15" x14ac:dyDescent="0.3">
      <c r="N28">
        <v>10</v>
      </c>
      <c r="O28" t="s">
        <v>74</v>
      </c>
    </row>
    <row r="29" spans="1:15" x14ac:dyDescent="0.3">
      <c r="O29">
        <f>AVERAGEIF(C3:C22,"sales",F3:F22)</f>
        <v>40625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BE1D1-5218-496A-AF3E-23E7B5D8AD86}">
  <dimension ref="A1:B22"/>
  <sheetViews>
    <sheetView workbookViewId="0">
      <selection activeCell="C3" sqref="C3"/>
    </sheetView>
  </sheetViews>
  <sheetFormatPr defaultRowHeight="14.4" x14ac:dyDescent="0.3"/>
  <cols>
    <col min="2" max="2" width="61.109375" customWidth="1"/>
  </cols>
  <sheetData>
    <row r="1" spans="1:2" x14ac:dyDescent="0.3">
      <c r="A1" s="1" t="s">
        <v>34</v>
      </c>
      <c r="B1" s="1"/>
    </row>
    <row r="3" spans="1:2" x14ac:dyDescent="0.3">
      <c r="A3">
        <v>1</v>
      </c>
      <c r="B3" t="s">
        <v>35</v>
      </c>
    </row>
    <row r="4" spans="1:2" x14ac:dyDescent="0.3">
      <c r="A4">
        <v>2</v>
      </c>
      <c r="B4" t="s">
        <v>36</v>
      </c>
    </row>
    <row r="5" spans="1:2" x14ac:dyDescent="0.3">
      <c r="A5">
        <v>3</v>
      </c>
      <c r="B5" t="s">
        <v>37</v>
      </c>
    </row>
    <row r="6" spans="1:2" x14ac:dyDescent="0.3">
      <c r="A6">
        <v>4</v>
      </c>
      <c r="B6" t="s">
        <v>38</v>
      </c>
    </row>
    <row r="7" spans="1:2" x14ac:dyDescent="0.3">
      <c r="A7">
        <v>5</v>
      </c>
      <c r="B7" t="s">
        <v>39</v>
      </c>
    </row>
    <row r="8" spans="1:2" x14ac:dyDescent="0.3">
      <c r="A8">
        <v>6</v>
      </c>
      <c r="B8" t="s">
        <v>40</v>
      </c>
    </row>
    <row r="9" spans="1:2" x14ac:dyDescent="0.3">
      <c r="A9">
        <v>7</v>
      </c>
      <c r="B9" t="s">
        <v>41</v>
      </c>
    </row>
    <row r="10" spans="1:2" x14ac:dyDescent="0.3">
      <c r="A10">
        <v>8</v>
      </c>
      <c r="B10" t="s">
        <v>42</v>
      </c>
    </row>
    <row r="11" spans="1:2" x14ac:dyDescent="0.3">
      <c r="A11">
        <v>9</v>
      </c>
      <c r="B11" t="s">
        <v>43</v>
      </c>
    </row>
    <row r="12" spans="1:2" x14ac:dyDescent="0.3">
      <c r="A12">
        <v>10</v>
      </c>
      <c r="B12" t="s">
        <v>44</v>
      </c>
    </row>
    <row r="13" spans="1:2" x14ac:dyDescent="0.3">
      <c r="A13">
        <v>11</v>
      </c>
      <c r="B13" t="s">
        <v>45</v>
      </c>
    </row>
    <row r="14" spans="1:2" x14ac:dyDescent="0.3">
      <c r="A14">
        <v>12</v>
      </c>
      <c r="B14" t="s">
        <v>46</v>
      </c>
    </row>
    <row r="15" spans="1:2" x14ac:dyDescent="0.3">
      <c r="A15">
        <v>13</v>
      </c>
      <c r="B15" t="s">
        <v>47</v>
      </c>
    </row>
    <row r="16" spans="1:2" x14ac:dyDescent="0.3">
      <c r="A16">
        <v>14</v>
      </c>
      <c r="B16" t="s">
        <v>48</v>
      </c>
    </row>
    <row r="17" spans="1:2" x14ac:dyDescent="0.3">
      <c r="A17">
        <v>15</v>
      </c>
      <c r="B17" t="s">
        <v>49</v>
      </c>
    </row>
    <row r="18" spans="1:2" x14ac:dyDescent="0.3">
      <c r="A18">
        <v>16</v>
      </c>
      <c r="B18" t="s">
        <v>50</v>
      </c>
    </row>
    <row r="19" spans="1:2" x14ac:dyDescent="0.3">
      <c r="A19">
        <v>17</v>
      </c>
      <c r="B19" t="s">
        <v>51</v>
      </c>
    </row>
    <row r="20" spans="1:2" x14ac:dyDescent="0.3">
      <c r="A20">
        <v>18</v>
      </c>
      <c r="B20" t="s">
        <v>52</v>
      </c>
    </row>
    <row r="21" spans="1:2" x14ac:dyDescent="0.3">
      <c r="A21">
        <v>19</v>
      </c>
      <c r="B21" t="s">
        <v>53</v>
      </c>
    </row>
    <row r="22" spans="1:2" x14ac:dyDescent="0.3">
      <c r="A22">
        <v>20</v>
      </c>
      <c r="B22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E54D4-574F-4425-8EA3-B934C930D257}">
  <dimension ref="A1:C12"/>
  <sheetViews>
    <sheetView workbookViewId="0">
      <selection activeCell="C12" sqref="C12"/>
    </sheetView>
  </sheetViews>
  <sheetFormatPr defaultRowHeight="14.4" x14ac:dyDescent="0.3"/>
  <cols>
    <col min="2" max="2" width="63.44140625" customWidth="1"/>
  </cols>
  <sheetData>
    <row r="1" spans="1:3" x14ac:dyDescent="0.3">
      <c r="A1" s="1" t="s">
        <v>55</v>
      </c>
      <c r="B1" s="1"/>
    </row>
    <row r="3" spans="1:3" x14ac:dyDescent="0.3">
      <c r="B3" t="s">
        <v>56</v>
      </c>
      <c r="C3" t="s">
        <v>87</v>
      </c>
    </row>
    <row r="4" spans="1:3" x14ac:dyDescent="0.3">
      <c r="B4" t="s">
        <v>57</v>
      </c>
      <c r="C4" t="s">
        <v>88</v>
      </c>
    </row>
    <row r="5" spans="1:3" x14ac:dyDescent="0.3">
      <c r="B5" t="s">
        <v>58</v>
      </c>
      <c r="C5" t="s">
        <v>89</v>
      </c>
    </row>
    <row r="6" spans="1:3" x14ac:dyDescent="0.3">
      <c r="B6" t="s">
        <v>59</v>
      </c>
      <c r="C6" t="s">
        <v>90</v>
      </c>
    </row>
    <row r="7" spans="1:3" x14ac:dyDescent="0.3">
      <c r="B7" t="s">
        <v>60</v>
      </c>
      <c r="C7" t="s">
        <v>91</v>
      </c>
    </row>
    <row r="8" spans="1:3" x14ac:dyDescent="0.3">
      <c r="B8" t="s">
        <v>61</v>
      </c>
      <c r="C8" t="s">
        <v>92</v>
      </c>
    </row>
    <row r="9" spans="1:3" x14ac:dyDescent="0.3">
      <c r="B9" t="s">
        <v>62</v>
      </c>
      <c r="C9" t="s">
        <v>93</v>
      </c>
    </row>
    <row r="10" spans="1:3" x14ac:dyDescent="0.3">
      <c r="B10" t="s">
        <v>63</v>
      </c>
      <c r="C10" t="s">
        <v>94</v>
      </c>
    </row>
    <row r="11" spans="1:3" x14ac:dyDescent="0.3">
      <c r="B11" t="s">
        <v>64</v>
      </c>
      <c r="C11" t="s">
        <v>91</v>
      </c>
    </row>
    <row r="12" spans="1:3" x14ac:dyDescent="0.3">
      <c r="B1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</vt:lpstr>
      <vt:lpstr>Business Questions</vt:lpstr>
      <vt:lpstr>Interview 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Sunitha V</dc:creator>
  <cp:lastModifiedBy>Manikanta Perumalla</cp:lastModifiedBy>
  <dcterms:created xsi:type="dcterms:W3CDTF">2026-06-17T13:04:57Z</dcterms:created>
  <dcterms:modified xsi:type="dcterms:W3CDTF">2026-06-25T06:05:49Z</dcterms:modified>
</cp:coreProperties>
</file>